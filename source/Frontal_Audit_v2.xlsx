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1. Brand &amp; Positioning" sheetId="2" state="visible" r:id="rId4"/>
    <sheet name="2. Data Layer" sheetId="3" state="visible" r:id="rId5"/>
    <sheet name="3. Signal Layer" sheetId="4" state="visible" r:id="rId6"/>
    <sheet name="4. Execution — RevOps" sheetId="5" state="visible" r:id="rId7"/>
    <sheet name="5. Execution — Outbound" sheetId="6" state="visible" r:id="rId8"/>
    <sheet name="6. Execution — Ads" sheetId="7" state="visible" r:id="rId9"/>
    <sheet name="7. Sales Proces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<sst xmlns="http://schemas.openxmlformats.org/spreadsheetml/2006/main" count="633" uniqueCount="548">
  <si>
    <t xml:space="preserve">FRONTAL  ·  QUALITATIVE GTM AUDIT</t>
  </si>
  <si>
    <t xml:space="preserve">Your go-to-market engine — scored.</t>
  </si>
  <si>
    <t xml:space="preserve">60-minute audit across seven layers: Brand → Data → Signal → RevOps → Outbound → Ads → Sales Process. Maturity scored 0–4 per dimension.</t>
  </si>
  <si>
    <t xml:space="preserve">CLIENT</t>
  </si>
  <si>
    <t xml:space="preserve">MATURITY SCORE BY LAYER</t>
  </si>
  <si>
    <t xml:space="preserve">Company</t>
  </si>
  <si>
    <t xml:space="preserve">Layer</t>
  </si>
  <si>
    <t xml:space="preserve">Score</t>
  </si>
  <si>
    <t xml:space="preserve">% of max</t>
  </si>
  <si>
    <t xml:space="preserve">ARR / revenue range</t>
  </si>
  <si>
    <t xml:space="preserve">1. Brand &amp; Positioning</t>
  </si>
  <si>
    <t xml:space="preserve">Employees</t>
  </si>
  <si>
    <t xml:space="preserve">2. Data Layer</t>
  </si>
  <si>
    <t xml:space="preserve">Primary industry</t>
  </si>
  <si>
    <t xml:space="preserve">3. Signal Layer</t>
  </si>
  <si>
    <t xml:space="preserve">Audit date</t>
  </si>
  <si>
    <t xml:space="preserve">4. Execution — RevOps</t>
  </si>
  <si>
    <t xml:space="preserve">Frontal lead(s)</t>
  </si>
  <si>
    <t xml:space="preserve">5. Execution — Outbound</t>
  </si>
  <si>
    <t xml:space="preserve">Client stakeholders</t>
  </si>
  <si>
    <t xml:space="preserve">6. Execution — Ads</t>
  </si>
  <si>
    <t xml:space="preserve">7. Sales Process</t>
  </si>
  <si>
    <t xml:space="preserve">TOTAL</t>
  </si>
  <si>
    <t xml:space="preserve">OVERALL MATURITY BAND</t>
  </si>
  <si>
    <t xml:space="preserve">0–56</t>
  </si>
  <si>
    <t xml:space="preserve">FOUNDATION</t>
  </si>
  <si>
    <t xml:space="preserve">No system. Founder-led, scattered.</t>
  </si>
  <si>
    <t xml:space="preserve">57–112</t>
  </si>
  <si>
    <t xml:space="preserve">BUILDING</t>
  </si>
  <si>
    <t xml:space="preserve">Tools in place, not wired.</t>
  </si>
  <si>
    <t xml:space="preserve">113–168</t>
  </si>
  <si>
    <t xml:space="preserve">SCALING</t>
  </si>
  <si>
    <t xml:space="preserve">Systems working, room to deepen.</t>
  </si>
  <si>
    <t xml:space="preserve">169–224</t>
  </si>
  <si>
    <t xml:space="preserve">COMPOUNDING</t>
  </si>
  <si>
    <t xml:space="preserve">Full system-led GTM. Advanced plays running.</t>
  </si>
  <si>
    <t xml:space="preserve">HEADLINE TAKEAWAYS  ·  fill this during the readback</t>
  </si>
  <si>
    <t xml:space="preserve">Top 3 strengths</t>
  </si>
  <si>
    <t xml:space="preserve">Top 3 gaps</t>
  </si>
  <si>
    <t xml:space="preserve">Quick wins (30 days)</t>
  </si>
  <si>
    <t xml:space="preserve">Strategic moves (90 days)</t>
  </si>
  <si>
    <t xml:space="preserve">Red flags / risks</t>
  </si>
  <si>
    <t xml:space="preserve">1. BRAND &amp; POSITIONING</t>
  </si>
  <si>
    <t xml:space="preserve">The left side of the chain. Diagnoses whether the client is positioned so that data, signal, and execution work.</t>
  </si>
  <si>
    <t xml:space="preserve">#</t>
  </si>
  <si>
    <t xml:space="preserve">Dimension</t>
  </si>
  <si>
    <t xml:space="preserve">Diagnostic probe</t>
  </si>
  <si>
    <t xml:space="preserve">Level 0</t>
  </si>
  <si>
    <t xml:space="preserve">Level 1</t>
  </si>
  <si>
    <t xml:space="preserve">Level 2</t>
  </si>
  <si>
    <t xml:space="preserve">Level 3</t>
  </si>
  <si>
    <t xml:space="preserve">Level 4</t>
  </si>
  <si>
    <t xml:space="preserve">Quant metric + benchmark</t>
  </si>
  <si>
    <t xml:space="preserve">Actual</t>
  </si>
  <si>
    <t xml:space="preserve">Notes / evidence</t>
  </si>
  <si>
    <t xml:space="preserve">B1</t>
  </si>
  <si>
    <t xml:space="preserve">ICP Definition Clarity</t>
  </si>
  <si>
    <t xml:space="preserve">How clearly defined is the Ideal Customer Profile?</t>
  </si>
  <si>
    <t xml:space="preserve">No defined ICP. Selling to anyone with a pulse.</t>
  </si>
  <si>
    <t xml:space="preserve">Rough segment only (e.g., 'B2B SaaS founders').</t>
  </si>
  <si>
    <t xml:space="preserve">Documented ICP with firmographic filters.</t>
  </si>
  <si>
    <t xml:space="preserve">Multi-tier ICP (Tier 1/2/3) with clear fit criteria.</t>
  </si>
  <si>
    <t xml:space="preserve">ICP validated against closed-won data, refreshed quarterly, with anti-fit exclusions.</t>
  </si>
  <si>
    <t xml:space="preserve">B2</t>
  </si>
  <si>
    <t xml:space="preserve">Positioning &amp; One-Liner</t>
  </si>
  <si>
    <t xml:space="preserve">How sharp is the value proposition and differentiation?</t>
  </si>
  <si>
    <t xml:space="preserve">Generic claims ('we help companies grow').</t>
  </si>
  <si>
    <t xml:space="preserve">Feature-led pitch, undifferentiated.</t>
  </si>
  <si>
    <t xml:space="preserve">Clear category + outcome, weak differentiation.</t>
  </si>
  <si>
    <t xml:space="preserve">Differentiated position, supported by proof points.</t>
  </si>
  <si>
    <t xml:space="preserve">Owned narrative (POV-led / category-shaping), strong competitive moat.</t>
  </si>
  <si>
    <t xml:space="preserve">B3</t>
  </si>
  <si>
    <t xml:space="preserve">Website — Conversion Readiness</t>
  </si>
  <si>
    <t xml:space="preserve">Does the website convert traffic into pipeline?</t>
  </si>
  <si>
    <t xml:space="preserve">Brochure site, no CTAs or lead capture.</t>
  </si>
  <si>
    <t xml:space="preserve">Basic contact form, single CTA.</t>
  </si>
  <si>
    <t xml:space="preserve">Segmented landing pages, lead capture, live chat.</t>
  </si>
  <si>
    <t xml:space="preserve">Personalised / account-aware site experience.</t>
  </si>
  <si>
    <t xml:space="preserve">Signal-driven site (visitor de-anon + routed CTAs + intent personalisation).</t>
  </si>
  <si>
    <t xml:space="preserve">Homepage→demo CVR (target &gt;2%)</t>
  </si>
  <si>
    <t xml:space="preserve">B4</t>
  </si>
  <si>
    <t xml:space="preserve">Social Proof Library</t>
  </si>
  <si>
    <t xml:space="preserve">How robust is the social proof arsenal?</t>
  </si>
  <si>
    <t xml:space="preserve">No logos, no case studies.</t>
  </si>
  <si>
    <t xml:space="preserve">Logo wall only.</t>
  </si>
  <si>
    <t xml:space="preserve">2–3 case studies + testimonials.</t>
  </si>
  <si>
    <t xml:space="preserve">10+ case studies mapped to ICP segments with metrics.</t>
  </si>
  <si>
    <t xml:space="preserve">Continuous case-study engine + peer-review proof (G2, awards, analyst mentions).</t>
  </si>
  <si>
    <t xml:space="preserve"># case studies live</t>
  </si>
  <si>
    <t xml:space="preserve">B5</t>
  </si>
  <si>
    <t xml:space="preserve">Founder / Exec LinkedIn Presence</t>
  </si>
  <si>
    <t xml:space="preserve">Are senior leaders publishing consistently on LinkedIn?</t>
  </si>
  <si>
    <t xml:space="preserve">Dormant profiles.</t>
  </si>
  <si>
    <t xml:space="preserve">Occasional posts, no cadence.</t>
  </si>
  <si>
    <t xml:space="preserve">Regular posting (~1x/week), some engagement.</t>
  </si>
  <si>
    <t xml:space="preserve">Consistent cadence (3+/week), 5K+ followers.</t>
  </si>
  <si>
    <t xml:space="preserve">Founder-led content as primary TOFU. 25K+ followers. Meetings booked directly from content.</t>
  </si>
  <si>
    <t xml:space="preserve">Posts/week + follower count</t>
  </si>
  <si>
    <t xml:space="preserve">B6</t>
  </si>
  <si>
    <t xml:space="preserve">Company Content Cadence</t>
  </si>
  <si>
    <t xml:space="preserve">What does the content engine look like beyond social?</t>
  </si>
  <si>
    <t xml:space="preserve">No content production.</t>
  </si>
  <si>
    <t xml:space="preserve">Ad-hoc blog posts.</t>
  </si>
  <si>
    <t xml:space="preserve">Monthly blog / newsletter.</t>
  </si>
  <si>
    <t xml:space="preserve">Multi-format program (blog + podcast + video + newsletter) on schedule.</t>
  </si>
  <si>
    <t xml:space="preserve">Content atomised from sales conversations, distributed across all channels, tied to pipeline.</t>
  </si>
  <si>
    <t xml:space="preserve">Content pieces/month</t>
  </si>
  <si>
    <t xml:space="preserve">B7</t>
  </si>
  <si>
    <t xml:space="preserve">Visual Brand System</t>
  </si>
  <si>
    <t xml:space="preserve">Is the brand visually coherent across all surfaces?</t>
  </si>
  <si>
    <t xml:space="preserve">No brand guidelines, inconsistent design.</t>
  </si>
  <si>
    <t xml:space="preserve">Basic logo and color, ad-hoc design.</t>
  </si>
  <si>
    <t xml:space="preserve">Brand guidelines document, mostly followed.</t>
  </si>
  <si>
    <t xml:space="preserve">Design system with templates for social, sales, web.</t>
  </si>
  <si>
    <t xml:space="preserve">Mature brand identity, recognised in category, design ops in place.</t>
  </si>
  <si>
    <t xml:space="preserve">B8</t>
  </si>
  <si>
    <t xml:space="preserve">Category Narrative</t>
  </si>
  <si>
    <t xml:space="preserve">Is the company defining, defending, or following a category?</t>
  </si>
  <si>
    <t xml:space="preserve">No awareness of category positioning.</t>
  </si>
  <si>
    <t xml:space="preserve">Generic category fit ('we're a CRM').</t>
  </si>
  <si>
    <t xml:space="preserve">Differentiated niche within a category.</t>
  </si>
  <si>
    <t xml:space="preserve">Actively framing a sub-category with owned vocabulary.</t>
  </si>
  <si>
    <t xml:space="preserve">Category creator — analysts and market reference them.</t>
  </si>
  <si>
    <t xml:space="preserve">SECTION TOTAL</t>
  </si>
  <si>
    <t xml:space="preserve">out of 32 max</t>
  </si>
  <si>
    <t xml:space="preserve">2. DATA LAYER</t>
  </si>
  <si>
    <t xml:space="preserve">Your TAM cleaned, enriched, scored. Every account and contact mapped, verified, ready to activate.</t>
  </si>
  <si>
    <t xml:space="preserve">D1</t>
  </si>
  <si>
    <t xml:space="preserve">CRM as Source of Truth</t>
  </si>
  <si>
    <t xml:space="preserve">Is the CRM the definitive record for accounts and contacts?</t>
  </si>
  <si>
    <t xml:space="preserve">No CRM, or CRM not used.</t>
  </si>
  <si>
    <t xml:space="preserve">CRM exists but duplicates, missing fields, ignored.</t>
  </si>
  <si>
    <t xml:space="preserve">CRM used by sales but not synced to marketing/CS.</t>
  </si>
  <si>
    <t xml:space="preserve">Central CRM with enforced hygiene, dedupe rules, mandatory fields.</t>
  </si>
  <si>
    <t xml:space="preserve">Dual-CRM architecture (mkt + sales) or single source with full bi-directional sync, weekly audit.</t>
  </si>
  <si>
    <t xml:space="preserve">% opps with mandatory fields populated (target &gt;90%)</t>
  </si>
  <si>
    <t xml:space="preserve">D2</t>
  </si>
  <si>
    <t xml:space="preserve">TAM Mapping</t>
  </si>
  <si>
    <t xml:space="preserve">Is the full addressable market mapped and in the CRM?</t>
  </si>
  <si>
    <t xml:space="preserve">No TAM defined.</t>
  </si>
  <si>
    <t xml:space="preserve">Rough count ('there are 10K companies like this').</t>
  </si>
  <si>
    <t xml:space="preserve">TAM list built, but static and stale.</t>
  </si>
  <si>
    <t xml:space="preserve">TAM mapped, segmented by tier, refreshed quarterly.</t>
  </si>
  <si>
    <t xml:space="preserve">Full scored TAM in CRM (fit + tier), living list, continuous enrichment.</t>
  </si>
  <si>
    <t xml:space="preserve"># accounts in TAM</t>
  </si>
  <si>
    <t xml:space="preserve">D3</t>
  </si>
  <si>
    <t xml:space="preserve">Account Firmographic Enrichment</t>
  </si>
  <si>
    <t xml:space="preserve">How deep is the firmographic data layer on each account?</t>
  </si>
  <si>
    <t xml:space="preserve">Name and domain only.</t>
  </si>
  <si>
    <t xml:space="preserve">Revenue range and headcount (manual).</t>
  </si>
  <si>
    <t xml:space="preserve">Enriched from a single source (Apollo or ZoomInfo).</t>
  </si>
  <si>
    <t xml:space="preserve">Multi-source waterfall (Clay + LinkedIn + secondary).</t>
  </si>
  <si>
    <t xml:space="preserve">Custom data points (funding, tech stack, growth signals) auto-refreshed.</t>
  </si>
  <si>
    <t xml:space="preserve">% accounts with ≥10 firmographic fields</t>
  </si>
  <si>
    <t xml:space="preserve">D4</t>
  </si>
  <si>
    <t xml:space="preserve">Contact Enrichment — Email + Phone Waterfall</t>
  </si>
  <si>
    <t xml:space="preserve">How reliable is contact data for outbound?</t>
  </si>
  <si>
    <t xml:space="preserve">Scraped emails, high bounce rate.</t>
  </si>
  <si>
    <t xml:space="preserve">Single-source emails, some verification.</t>
  </si>
  <si>
    <t xml:space="preserve">Verified emails (LeadMagic / BounceBan) on outbound list.</t>
  </si>
  <si>
    <t xml:space="preserve">Waterfall enrichment (3+ providers) with validation step.</t>
  </si>
  <si>
    <t xml:space="preserve">Full waterfall (email + mobile) with re-verification on every outbound batch.</t>
  </si>
  <si>
    <t xml:space="preserve">Bounce rate % (target &lt;2%)</t>
  </si>
  <si>
    <t xml:space="preserve">D5</t>
  </si>
  <si>
    <t xml:space="preserve">ICP Fit Scoring</t>
  </si>
  <si>
    <t xml:space="preserve">Is every account/contact scored for ICP fit?</t>
  </si>
  <si>
    <t xml:space="preserve">No scoring — all accounts treated equal.</t>
  </si>
  <si>
    <t xml:space="preserve">Manual tiering by rep gut-feel.</t>
  </si>
  <si>
    <t xml:space="preserve">Basic rule-based ICP score (industry + size).</t>
  </si>
  <si>
    <t xml:space="preserve">Multi-factor score (firmographics + tech + intent) recalculated regularly.</t>
  </si>
  <si>
    <t xml:space="preserve">ML-based scoring calibrated against closed-won, surfaced in CRM.</t>
  </si>
  <si>
    <t xml:space="preserve">D6</t>
  </si>
  <si>
    <t xml:space="preserve">Cross-Tool Data Sync</t>
  </si>
  <si>
    <t xml:space="preserve">Does data flow cleanly across the GTM stack?</t>
  </si>
  <si>
    <t xml:space="preserve">Tools don't talk to each other.</t>
  </si>
  <si>
    <t xml:space="preserve">Manual CSV exports between tools.</t>
  </si>
  <si>
    <t xml:space="preserve">Some native integrations (CRM ↔ sequencer).</t>
  </si>
  <si>
    <t xml:space="preserve">Bi-directional sync across CRM, sequencer, ads, enrichment.</t>
  </si>
  <si>
    <t xml:space="preserve">Full orchestration layer (n8n/Make/Zapier) with monitoring and error handling.</t>
  </si>
  <si>
    <t xml:space="preserve">D7</t>
  </si>
  <si>
    <t xml:space="preserve">Data Coverage vs TAM</t>
  </si>
  <si>
    <t xml:space="preserve">What % of the TAM is fully enriched and actionable?</t>
  </si>
  <si>
    <t xml:space="preserve">&lt;25% of TAM has workable data.</t>
  </si>
  <si>
    <t xml:space="preserve">25–50%.</t>
  </si>
  <si>
    <t xml:space="preserve">50–75%.</t>
  </si>
  <si>
    <t xml:space="preserve">75–90% with verified contacts.</t>
  </si>
  <si>
    <t xml:space="preserve">90%+ with decision-maker coverage and ongoing refresh.</t>
  </si>
  <si>
    <t xml:space="preserve">% TAM enriched</t>
  </si>
  <si>
    <t xml:space="preserve">D8</t>
  </si>
  <si>
    <t xml:space="preserve">Data Decay Management</t>
  </si>
  <si>
    <t xml:space="preserve">How is data kept fresh against 22%/yr natural decay?</t>
  </si>
  <si>
    <t xml:space="preserve">No refresh — data decays unmanaged.</t>
  </si>
  <si>
    <t xml:space="preserve">Annual re-enrichment.</t>
  </si>
  <si>
    <t xml:space="preserve">Quarterly re-enrichment.</t>
  </si>
  <si>
    <t xml:space="preserve">Monthly re-enrichment + job-change tracking.</t>
  </si>
  <si>
    <t xml:space="preserve">Real-time signals — job/role/company changes trigger CRM updates.</t>
  </si>
  <si>
    <t xml:space="preserve">Re-enrichment cadence (days)</t>
  </si>
  <si>
    <t xml:space="preserve">3. SIGNAL LAYER</t>
  </si>
  <si>
    <t xml:space="preserve">Buying signals, intent, and account scoring. Behavioural triggers wired into the CRM.</t>
  </si>
  <si>
    <t xml:space="preserve">S1</t>
  </si>
  <si>
    <t xml:space="preserve">Buying Intent Signals (3rd Party)</t>
  </si>
  <si>
    <t xml:space="preserve">Are 3rd-party intent signals captured and wired into the CRM?</t>
  </si>
  <si>
    <t xml:space="preserve">No intent data.</t>
  </si>
  <si>
    <t xml:space="preserve">G2 reviews monitored manually.</t>
  </si>
  <si>
    <t xml:space="preserve">Single intent source (Bombora or 6sense) in CRM.</t>
  </si>
  <si>
    <t xml:space="preserve">Multi-source intent (G2 + Bombora + 6sense) with topic tracking.</t>
  </si>
  <si>
    <t xml:space="preserve">Intent composited with fit score, triggering account-level actions.</t>
  </si>
  <si>
    <t xml:space="preserve">S2</t>
  </si>
  <si>
    <t xml:space="preserve">Website Visitor De-anonymization</t>
  </si>
  <si>
    <t xml:space="preserve">Are anonymous visitors being identified company-by-company?</t>
  </si>
  <si>
    <t xml:space="preserve">GA only, no identification.</t>
  </si>
  <si>
    <t xml:space="preserve">Basic analytics (GA4), no identification.</t>
  </si>
  <si>
    <t xml:space="preserve">Email-level tracking (HubSpot known contacts).</t>
  </si>
  <si>
    <t xml:space="preserve">De-anon solution (RB2B / Warmly / Vector) identifying companies.</t>
  </si>
  <si>
    <t xml:space="preserve">De-anon + contact enrichment + auto-routing to outbound, ads, and CSM.</t>
  </si>
  <si>
    <t xml:space="preserve">% visitors de-anonymized</t>
  </si>
  <si>
    <t xml:space="preserve">S3</t>
  </si>
  <si>
    <t xml:space="preserve">LinkedIn Engagement Capture</t>
  </si>
  <si>
    <t xml:space="preserve">Are LinkedIn post engagers and profile visitors captured?</t>
  </si>
  <si>
    <t xml:space="preserve">LinkedIn engagement ignored.</t>
  </si>
  <si>
    <t xml:space="preserve">Engagers manually reviewed by founder.</t>
  </si>
  <si>
    <t xml:space="preserve">Post engagers scraped (LeadMagic) but not actioned.</t>
  </si>
  <si>
    <t xml:space="preserve">Post + profile visitor capture, enriched, routed by ICP fit.</t>
  </si>
  <si>
    <t xml:space="preserve">Every engagement triggers a personalised play. Full engagement pipeline.</t>
  </si>
  <si>
    <t xml:space="preserve">S4</t>
  </si>
  <si>
    <t xml:space="preserve">Trigger Signals — Hiring / Funding / Tech</t>
  </si>
  <si>
    <t xml:space="preserve">Are leading-indicator signals monitored?</t>
  </si>
  <si>
    <t xml:space="preserve">No signal monitoring.</t>
  </si>
  <si>
    <t xml:space="preserve">Manual news scanning.</t>
  </si>
  <si>
    <t xml:space="preserve">Single signal type (e.g., funding announcements).</t>
  </si>
  <si>
    <t xml:space="preserve">Multi-signal monitoring (Trigify / PredictLeads / HG Insights).</t>
  </si>
  <si>
    <t xml:space="preserve">All signals composited, scored by urgency, triggering timely outbound.</t>
  </si>
  <si>
    <t xml:space="preserve">S5</t>
  </si>
  <si>
    <t xml:space="preserve">Account Scoring — Fit × Intent</t>
  </si>
  <si>
    <t xml:space="preserve">Are accounts scored by both fit AND intent?</t>
  </si>
  <si>
    <t xml:space="preserve">No scoring.</t>
  </si>
  <si>
    <t xml:space="preserve">Fit score only.</t>
  </si>
  <si>
    <t xml:space="preserve">Fit + basic intent (e.g., website visits).</t>
  </si>
  <si>
    <t xml:space="preserve">Composite score (fit × multi-signal intent).</t>
  </si>
  <si>
    <t xml:space="preserve">Dynamic score refreshed on every signal event, visible in CRM.</t>
  </si>
  <si>
    <t xml:space="preserve">S6</t>
  </si>
  <si>
    <t xml:space="preserve">Lead-to-Account Matching</t>
  </si>
  <si>
    <t xml:space="preserve">Are inbound leads matched to the correct account automatically?</t>
  </si>
  <si>
    <t xml:space="preserve">Leads dumped as standalone contacts.</t>
  </si>
  <si>
    <t xml:space="preserve">Manual matching by rep.</t>
  </si>
  <si>
    <t xml:space="preserve">Basic fuzzy match on domain.</t>
  </si>
  <si>
    <t xml:space="preserve">Automated lead-to-account matching with account-owner routing.</t>
  </si>
  <si>
    <t xml:space="preserve">Full matching + de-duping + cross-object relationship mapping.</t>
  </si>
  <si>
    <t xml:space="preserve">S7</t>
  </si>
  <si>
    <t xml:space="preserve">Signal-to-Action Routing</t>
  </si>
  <si>
    <t xml:space="preserve">When a signal fires, does it trigger an action automatically?</t>
  </si>
  <si>
    <t xml:space="preserve">Signals detected but no action taken.</t>
  </si>
  <si>
    <t xml:space="preserve">Manual review and follow-up.</t>
  </si>
  <si>
    <t xml:space="preserve">Signals alert reps (Slack).</t>
  </si>
  <si>
    <t xml:space="preserve">Signals auto-enrol contact into the right sequence.</t>
  </si>
  <si>
    <t xml:space="preserve">Multi-channel signal orchestration (sequence + ads + CSM outreach).</t>
  </si>
  <si>
    <t xml:space="preserve">Time signal→action (target &lt;1hr)</t>
  </si>
  <si>
    <t xml:space="preserve">S8</t>
  </si>
  <si>
    <t xml:space="preserve">Inbound Lead Scoring &amp; Routing</t>
  </si>
  <si>
    <t xml:space="preserve">How are inbound leads scored and routed?</t>
  </si>
  <si>
    <t xml:space="preserve">All leads treated equal, one inbox.</t>
  </si>
  <si>
    <t xml:space="preserve">Basic round-robin to reps.</t>
  </si>
  <si>
    <t xml:space="preserve">ICP filter before rep routing.</t>
  </si>
  <si>
    <t xml:space="preserve">Fit + intent score determines SLA tier (hot/warm/nurture).</t>
  </si>
  <si>
    <t xml:space="preserve">Full speed-to-lead automation, enriched briefing to rep before first touch.</t>
  </si>
  <si>
    <t xml:space="preserve">Lead response time (target &lt;5 min)</t>
  </si>
  <si>
    <t xml:space="preserve">4. EXECUTION — REVOPS</t>
  </si>
  <si>
    <t xml:space="preserve">The central engine. Pipeline ops, routing, SLAs, dashboards, workflow automation.</t>
  </si>
  <si>
    <t xml:space="preserve">R1</t>
  </si>
  <si>
    <t xml:space="preserve">Pipeline Stages &amp; Conversion</t>
  </si>
  <si>
    <t xml:space="preserve">Are pipeline stages defined and conversion tracked?</t>
  </si>
  <si>
    <t xml:space="preserve">Stages not defined or inconsistent.</t>
  </si>
  <si>
    <t xml:space="preserve">Basic stages, conversion tracked ad-hoc.</t>
  </si>
  <si>
    <t xml:space="preserve">Stages documented, conversion rates reviewed monthly.</t>
  </si>
  <si>
    <t xml:space="preserve">Exit criteria per stage, conversion tracked by segment/rep.</t>
  </si>
  <si>
    <t xml:space="preserve">Stage conversion benchmarks with deviation alerts, deal-desk governance.</t>
  </si>
  <si>
    <t xml:space="preserve">Stage conversion rates</t>
  </si>
  <si>
    <t xml:space="preserve">R2</t>
  </si>
  <si>
    <t xml:space="preserve">Lead Routing &amp; Speed-to-Lead</t>
  </si>
  <si>
    <t xml:space="preserve">How fast and accurate is inbound lead routing?</t>
  </si>
  <si>
    <t xml:space="preserve">Inbox dumping, no routing.</t>
  </si>
  <si>
    <t xml:space="preserve">Daily manual assignment.</t>
  </si>
  <si>
    <t xml:space="preserve">Round-robin with basic rules.</t>
  </si>
  <si>
    <t xml:space="preserve">Signal-based routing (territory + account tier + intent).</t>
  </si>
  <si>
    <t xml:space="preserve">Sub-5-min SLA with auto-enrichment and rep briefing.</t>
  </si>
  <si>
    <t xml:space="preserve">Median lead response time</t>
  </si>
  <si>
    <t xml:space="preserve">R3</t>
  </si>
  <si>
    <t xml:space="preserve">Meeting &amp; Scheduling Ops</t>
  </si>
  <si>
    <t xml:space="preserve">Is the meeting booking flow friction-free and context-rich?</t>
  </si>
  <si>
    <t xml:space="preserve">Back-and-forth email scheduling.</t>
  </si>
  <si>
    <t xml:space="preserve">Basic Calendly links.</t>
  </si>
  <si>
    <t xml:space="preserve">Routed scheduling with reminders.</t>
  </si>
  <si>
    <t xml:space="preserve">Chili Piper / Calendly routing by owner/tier with prep docs.</t>
  </si>
  <si>
    <t xml:space="preserve">Full calendar ops: pre-meeting research auto-generated + reminders + post-meeting sync.</t>
  </si>
  <si>
    <t xml:space="preserve">R4</t>
  </si>
  <si>
    <t xml:space="preserve">Handoff SLAs — Marketing → Sales → CS</t>
  </si>
  <si>
    <t xml:space="preserve">Are handoffs governed by SLAs?</t>
  </si>
  <si>
    <t xml:space="preserve">No SLAs; leads and deals fall through cracks.</t>
  </si>
  <si>
    <t xml:space="preserve">Informal handoffs.</t>
  </si>
  <si>
    <t xml:space="preserve">Documented handoff criteria.</t>
  </si>
  <si>
    <t xml:space="preserve">Tracked SLAs with alerts on breach.</t>
  </si>
  <si>
    <t xml:space="preserve">Automated handoff workflows with full context transfer.</t>
  </si>
  <si>
    <t xml:space="preserve">R5</t>
  </si>
  <si>
    <t xml:space="preserve">Dashboards &amp; Reporting</t>
  </si>
  <si>
    <t xml:space="preserve">What operational dashboards exist?</t>
  </si>
  <si>
    <t xml:space="preserve">No dashboards; numbers pulled manually.</t>
  </si>
  <si>
    <t xml:space="preserve">Spreadsheet-based reports.</t>
  </si>
  <si>
    <t xml:space="preserve">CRM-native dashboards (pipeline).</t>
  </si>
  <si>
    <t xml:space="preserve">Multi-dimension dashboards (pipeline, velocity, conversion, CAC).</t>
  </si>
  <si>
    <t xml:space="preserve">Executive BI layer (cross-tool) with predictive / forecasting views.</t>
  </si>
  <si>
    <t xml:space="preserve">R6</t>
  </si>
  <si>
    <t xml:space="preserve">Workflow Automation Library</t>
  </si>
  <si>
    <t xml:space="preserve">How mature is the automation layer?</t>
  </si>
  <si>
    <t xml:space="preserve">Nothing automated.</t>
  </si>
  <si>
    <t xml:space="preserve">A few Zapier tasks.</t>
  </si>
  <si>
    <t xml:space="preserve">Documented workflows in Zapier / Make.</t>
  </si>
  <si>
    <t xml:space="preserve">Robust n8n / Make library with version control.</t>
  </si>
  <si>
    <t xml:space="preserve">AI agents embedded in workflows, full observability, error handling.</t>
  </si>
  <si>
    <t xml:space="preserve">R7</t>
  </si>
  <si>
    <t xml:space="preserve">Renewal &amp; Expansion Pipeline</t>
  </si>
  <si>
    <t xml:space="preserve">Is the post-sale motion managed as a proper pipeline?</t>
  </si>
  <si>
    <t xml:space="preserve">No renewal tracking.</t>
  </si>
  <si>
    <t xml:space="preserve">Spreadsheet of renewal dates.</t>
  </si>
  <si>
    <t xml:space="preserve">Renewal pipeline in CRM with stage logic.</t>
  </si>
  <si>
    <t xml:space="preserve">Forecasted renewals + expansion plays triggered by usage/signals.</t>
  </si>
  <si>
    <t xml:space="preserve">Full CS ops motion — health scoring, QBRs, expansion automation.</t>
  </si>
  <si>
    <t xml:space="preserve">NRR %</t>
  </si>
  <si>
    <t xml:space="preserve">R8</t>
  </si>
  <si>
    <t xml:space="preserve">Reply Classification &amp; Disposition</t>
  </si>
  <si>
    <t xml:space="preserve">Are outbound replies classified and routed?</t>
  </si>
  <si>
    <t xml:space="preserve">Reps sort manually.</t>
  </si>
  <si>
    <t xml:space="preserve">Basic rules (interested / not interested).</t>
  </si>
  <si>
    <t xml:space="preserve">Sequencer-native reply detection.</t>
  </si>
  <si>
    <t xml:space="preserve">AI-classified replies (positive / objection / not now).</t>
  </si>
  <si>
    <t xml:space="preserve">Replies auto-routed to right flow (meeting / objection handling / nurture).</t>
  </si>
  <si>
    <t xml:space="preserve">5. EXECUTION — OUTBOUND</t>
  </si>
  <si>
    <t xml:space="preserve">Outbound as a system: deliverability, cadence, personalisation, LinkedIn, multi-channel, content, AI agents.</t>
  </si>
  <si>
    <t xml:space="preserve">O1</t>
  </si>
  <si>
    <t xml:space="preserve">Email Deliverability Infrastructure</t>
  </si>
  <si>
    <t xml:space="preserve">Is the sending infrastructure healthy and scalable?</t>
  </si>
  <si>
    <t xml:space="preserve">Single domain, no warmup, blacklisted.</t>
  </si>
  <si>
    <t xml:space="preserve">1 domain, a few mailboxes, ad-hoc warmup.</t>
  </si>
  <si>
    <t xml:space="preserve">2–5 domains, mailboxes warmed ≥30 days, SPF/DKIM/DMARC set.</t>
  </si>
  <si>
    <t xml:space="preserve">Dedicated infra (5+ domains, 3 mailboxes/domain, continuous warmup).</t>
  </si>
  <si>
    <t xml:space="preserve">Inbox placement monitoring (GlockApps), reputation alerts, multi-provider redundancy.</t>
  </si>
  <si>
    <t xml:space="preserve">Inbox placement % (target &gt;85%); # domains; # mailboxes</t>
  </si>
  <si>
    <t xml:space="preserve">O2</t>
  </si>
  <si>
    <t xml:space="preserve">Sequencer Setup &amp; Cadence</t>
  </si>
  <si>
    <t xml:space="preserve">How sophisticated is the outbound sequencer?</t>
  </si>
  <si>
    <t xml:space="preserve">No sequencer; manual sends.</t>
  </si>
  <si>
    <t xml:space="preserve">Basic sequences (1 cadence for all).</t>
  </si>
  <si>
    <t xml:space="preserve">Multiple sequences by segment.</t>
  </si>
  <si>
    <t xml:space="preserve">ICP + signal-specific sequences with A/B testing.</t>
  </si>
  <si>
    <t xml:space="preserve">Fully orchestrated sequences across channels with liquid variables and trigger branches.</t>
  </si>
  <si>
    <t xml:space="preserve">Reply rate % (target 2–5% cold, 10%+ warm)</t>
  </si>
  <si>
    <t xml:space="preserve">O3</t>
  </si>
  <si>
    <t xml:space="preserve">Personalisation Depth</t>
  </si>
  <si>
    <t xml:space="preserve">How personalised is outbound messaging at scale?</t>
  </si>
  <si>
    <t xml:space="preserve">'Hi [first name]' only.</t>
  </si>
  <si>
    <t xml:space="preserve">Company name + generic hook.</t>
  </si>
  <si>
    <t xml:space="preserve">Role-based templates.</t>
  </si>
  <si>
    <t xml:space="preserve">AI-generated personalisation (Clay + Claude) on every send.</t>
  </si>
  <si>
    <t xml:space="preserve">Multi-variable relevance (signal + persona + case-study match) — near-1:1 quality at scale.</t>
  </si>
  <si>
    <t xml:space="preserve">Positive reply rate by segment</t>
  </si>
  <si>
    <t xml:space="preserve">O4</t>
  </si>
  <si>
    <t xml:space="preserve">LinkedIn Outbound Operations</t>
  </si>
  <si>
    <t xml:space="preserve">How is LinkedIn outbound structured?</t>
  </si>
  <si>
    <t xml:space="preserve">No LinkedIn outreach.</t>
  </si>
  <si>
    <t xml:space="preserve">Manual connect messages from founder.</t>
  </si>
  <si>
    <t xml:space="preserve">HeyReach / Expandi / Lemlist with single cadence.</t>
  </si>
  <si>
    <t xml:space="preserve">Multi-account LinkedIn outbound, ICP-filtered, tied to CRM.</t>
  </si>
  <si>
    <t xml:space="preserve">LinkedIn + email orchestration, engagement-triggered, ICP-scored.</t>
  </si>
  <si>
    <t xml:space="preserve">LinkedIn reply rate %</t>
  </si>
  <si>
    <t xml:space="preserve">O5</t>
  </si>
  <si>
    <t xml:space="preserve">Multi-Channel Orchestration</t>
  </si>
  <si>
    <t xml:space="preserve">Are outbound channels coordinated across email, LinkedIn, and ads?</t>
  </si>
  <si>
    <t xml:space="preserve">Channels run independently, no coordination.</t>
  </si>
  <si>
    <t xml:space="preserve">Email + LinkedIn run in parallel by same rep.</t>
  </si>
  <si>
    <t xml:space="preserve">Documented sequence across email + LinkedIn.</t>
  </si>
  <si>
    <t xml:space="preserve">Email + LinkedIn + ads hitting same ICP accounts in coordinated windows.</t>
  </si>
  <si>
    <t xml:space="preserve">Full orchestration — signals trigger cross-channel plays, all in one system.</t>
  </si>
  <si>
    <t xml:space="preserve">O6</t>
  </si>
  <si>
    <t xml:space="preserve">Testing &amp; Iteration Cadence</t>
  </si>
  <si>
    <t xml:space="preserve">How systematically is outbound tested and improved?</t>
  </si>
  <si>
    <t xml:space="preserve">No testing. Same templates forever.</t>
  </si>
  <si>
    <t xml:space="preserve">Occasional rewrites when results dip.</t>
  </si>
  <si>
    <t xml:space="preserve">Subject-line / opener A/B tests run ad-hoc.</t>
  </si>
  <si>
    <t xml:space="preserve">Weekly performance review with documented test backlog.</t>
  </si>
  <si>
    <t xml:space="preserve">Continuous test program — multi-variate on copy, offer, cadence, persona — feeding a learnings doc.</t>
  </si>
  <si>
    <t xml:space="preserve">Tests run / month</t>
  </si>
  <si>
    <t xml:space="preserve">O7</t>
  </si>
  <si>
    <t xml:space="preserve">Content Engine (Advanced)</t>
  </si>
  <si>
    <t xml:space="preserve">Is there a content engine feeding outbound and nurture?</t>
  </si>
  <si>
    <t xml:space="preserve">No content support for outbound.</t>
  </si>
  <si>
    <t xml:space="preserve">Reps send links to old blog posts.</t>
  </si>
  <si>
    <t xml:space="preserve">Monthly asset supports campaigns.</t>
  </si>
  <si>
    <t xml:space="preserve">Founder-led content repurposed across email, LinkedIn, ads.</t>
  </si>
  <si>
    <t xml:space="preserve">Full Content-as-a-Service: sales conversations → content → ads/outbound/nurture in a closed loop.</t>
  </si>
  <si>
    <t xml:space="preserve">O8</t>
  </si>
  <si>
    <t xml:space="preserve">AI Agents / GTM Ops (Advanced)</t>
  </si>
  <si>
    <t xml:space="preserve">Are AI agents embedded in the GTM stack?</t>
  </si>
  <si>
    <t xml:space="preserve">No AI in GTM workflows.</t>
  </si>
  <si>
    <t xml:space="preserve">Point-use ChatGPT for email drafting.</t>
  </si>
  <si>
    <t xml:space="preserve">Clay + Claude integration for enrichment/personalisation.</t>
  </si>
  <si>
    <t xml:space="preserve">Custom agents in workflows (enrichment, routing, classification).</t>
  </si>
  <si>
    <t xml:space="preserve">AI agents running autonomous plays — research, outbound drafts, reply handling, in background.</t>
  </si>
  <si>
    <t xml:space="preserve">6. EXECUTION — ADS</t>
  </si>
  <si>
    <t xml:space="preserve">Paid as a coordinated layer: strategy, channel mix, ABM, signal-triggered, creative, landing pages, attribution.</t>
  </si>
  <si>
    <t xml:space="preserve">A1</t>
  </si>
  <si>
    <t xml:space="preserve">Paid Strategy &amp; Role in Pipeline</t>
  </si>
  <si>
    <t xml:space="preserve">Is there a defined role for paid in the GTM mix?</t>
  </si>
  <si>
    <t xml:space="preserve">No paid. Or 'we tried it, didn't work.'</t>
  </si>
  <si>
    <t xml:space="preserve">Ad-hoc paid campaigns, no strategy.</t>
  </si>
  <si>
    <t xml:space="preserve">Paid runs for brand or lead-gen, measured separately.</t>
  </si>
  <si>
    <t xml:space="preserve">Paid has a defined role (demand gen, demand capture, ABM) with targets per channel.</t>
  </si>
  <si>
    <t xml:space="preserve">Paid is integrated into the GTM system — budget tied to pipeline targets, feeding outbound and sales.</t>
  </si>
  <si>
    <t xml:space="preserve">% pipeline attributed to paid</t>
  </si>
  <si>
    <t xml:space="preserve">A2</t>
  </si>
  <si>
    <t xml:space="preserve">Channel Mix &amp; Budget Allocation</t>
  </si>
  <si>
    <t xml:space="preserve">Which paid channels are active, and how is budget allocated?</t>
  </si>
  <si>
    <t xml:space="preserve">One channel, no strategy.</t>
  </si>
  <si>
    <t xml:space="preserve">2+ channels, budget by gut feel.</t>
  </si>
  <si>
    <t xml:space="preserve">Multi-channel (LinkedIn, Google, Meta) with basic budget logic.</t>
  </si>
  <si>
    <t xml:space="preserve">Budget allocated by CAC/ROAS per channel, reviewed monthly.</t>
  </si>
  <si>
    <t xml:space="preserve">Portfolio approach — brand, demand capture, ABM, retargeting each with a role and measured ROAS.</t>
  </si>
  <si>
    <t xml:space="preserve">Monthly paid spend + channel split</t>
  </si>
  <si>
    <t xml:space="preserve">A3</t>
  </si>
  <si>
    <t xml:space="preserve">ABM / Account-Based Ads</t>
  </si>
  <si>
    <t xml:space="preserve">Are ads targeting specific high-value accounts?</t>
  </si>
  <si>
    <t xml:space="preserve">No account targeting — broad audiences only.</t>
  </si>
  <si>
    <t xml:space="preserve">Lookalike audiences from customer list.</t>
  </si>
  <si>
    <t xml:space="preserve">ABM audience from target list (top 200 accounts).</t>
  </si>
  <si>
    <t xml:space="preserve">ABM ads tied to CRM list, refreshed on new accounts, segmented by tier.</t>
  </si>
  <si>
    <t xml:space="preserve">Signal-triggered ABM — ad spend ramps when an account shows intent.</t>
  </si>
  <si>
    <t xml:space="preserve"># target accounts reached by ads</t>
  </si>
  <si>
    <t xml:space="preserve">A4</t>
  </si>
  <si>
    <t xml:space="preserve">Signal-Triggered &amp; Retargeting Flows</t>
  </si>
  <si>
    <t xml:space="preserve">Do ads respond to behaviour and intent signals?</t>
  </si>
  <si>
    <t xml:space="preserve">Static ads, no retargeting.</t>
  </si>
  <si>
    <t xml:space="preserve">Basic website retargeting (all visitors).</t>
  </si>
  <si>
    <t xml:space="preserve">Retargeting segmented by page / stage.</t>
  </si>
  <si>
    <t xml:space="preserve">Retargeting tied to CRM stage + signal source (funding, hiring, intent).</t>
  </si>
  <si>
    <t xml:space="preserve">Full signal loop — ads fire on specific triggers, content changes by trigger type, synced with outbound and CSM.</t>
  </si>
  <si>
    <t xml:space="preserve">Retargeting CTR vs cold CTR</t>
  </si>
  <si>
    <t xml:space="preserve">A5</t>
  </si>
  <si>
    <t xml:space="preserve">Creative &amp; Messaging Quality</t>
  </si>
  <si>
    <t xml:space="preserve">How strong is the creative system?</t>
  </si>
  <si>
    <t xml:space="preserve">Generic stock imagery, product screenshots.</t>
  </si>
  <si>
    <t xml:space="preserve">Occasional bespoke creative, no system.</t>
  </si>
  <si>
    <t xml:space="preserve">Brand-aligned creative, produced in batches.</t>
  </si>
  <si>
    <t xml:space="preserve">Creative system with templates, variants per persona, regular refresh.</t>
  </si>
  <si>
    <t xml:space="preserve">Creative atomised from sales conversations and content — persona-matched, tested, refreshed weekly.</t>
  </si>
  <si>
    <t xml:space="preserve"># active creative variants</t>
  </si>
  <si>
    <t xml:space="preserve">A6</t>
  </si>
  <si>
    <t xml:space="preserve">Landing Page Experience</t>
  </si>
  <si>
    <t xml:space="preserve">Where does ad traffic land, and how well does it convert?</t>
  </si>
  <si>
    <t xml:space="preserve">Homepage only.</t>
  </si>
  <si>
    <t xml:space="preserve">Generic landing page, single CTA.</t>
  </si>
  <si>
    <t xml:space="preserve">Campaign-specific landing pages.</t>
  </si>
  <si>
    <t xml:space="preserve">Segmented landing pages by persona or industry with clear CTAs.</t>
  </si>
  <si>
    <t xml:space="preserve">Personalised / account-aware landing pages (dynamic variables, named social proof).</t>
  </si>
  <si>
    <t xml:space="preserve">Ad LP conversion rate %</t>
  </si>
  <si>
    <t xml:space="preserve">A7</t>
  </si>
  <si>
    <t xml:space="preserve">Attribution &amp; Measurement</t>
  </si>
  <si>
    <t xml:space="preserve">Is paid attribution trustworthy and actionable?</t>
  </si>
  <si>
    <t xml:space="preserve">No tracking beyond platform metrics.</t>
  </si>
  <si>
    <t xml:space="preserve">Single-touch (last click) attribution.</t>
  </si>
  <si>
    <t xml:space="preserve">UTM discipline + CRM source tracking.</t>
  </si>
  <si>
    <t xml:space="preserve">Multi-touch attribution model, reviewed monthly, feeds channel decisions.</t>
  </si>
  <si>
    <t xml:space="preserve">Blended CAC + pipeline attribution across channels, integrated with CRM forecast.</t>
  </si>
  <si>
    <t xml:space="preserve">CAC by channel; CAC payback months</t>
  </si>
  <si>
    <t xml:space="preserve">A8</t>
  </si>
  <si>
    <t xml:space="preserve">Integration with Outbound &amp; CRM</t>
  </si>
  <si>
    <t xml:space="preserve">Do ads and outbound work together, or in parallel silos?</t>
  </si>
  <si>
    <t xml:space="preserve">Ads and outbound operate independently.</t>
  </si>
  <si>
    <t xml:space="preserve">Shared ICP list, no coordination.</t>
  </si>
  <si>
    <t xml:space="preserve">Ads warm accounts before outbound touches them.</t>
  </si>
  <si>
    <t xml:space="preserve">Same account list hit by ads + outbound + content in coordinated windows.</t>
  </si>
  <si>
    <t xml:space="preserve">Full orchestration — signals route simultaneously to ads, outbound, and CSM. One pipeline, three channels.</t>
  </si>
  <si>
    <t xml:space="preserve">7. SALES PROCESS</t>
  </si>
  <si>
    <t xml:space="preserve">The right side of the chain. Sales team structure, qualification, forecast, deal discipline.</t>
  </si>
  <si>
    <t xml:space="preserve">SP1</t>
  </si>
  <si>
    <t xml:space="preserve">Sales Team Structure</t>
  </si>
  <si>
    <t xml:space="preserve">How is the sales team structured relative to motion and scale?</t>
  </si>
  <si>
    <t xml:space="preserve">Founder is only seller.</t>
  </si>
  <si>
    <t xml:space="preserve">Founder + 1 generalist.</t>
  </si>
  <si>
    <t xml:space="preserve">Defined SDR / AE split.</t>
  </si>
  <si>
    <t xml:space="preserve">SDRs (inbound + outbound) + AEs (commercial + enterprise) + ops support.</t>
  </si>
  <si>
    <t xml:space="preserve">Full motion: SDRs, AEs, SEs, CS, RevOps, enablement.</t>
  </si>
  <si>
    <t xml:space="preserve">SP2</t>
  </si>
  <si>
    <t xml:space="preserve">Qualification Framework</t>
  </si>
  <si>
    <t xml:space="preserve">Is there a documented and enforced qualification methodology?</t>
  </si>
  <si>
    <t xml:space="preserve">No framework — reps wing it.</t>
  </si>
  <si>
    <t xml:space="preserve">Informal BANT.</t>
  </si>
  <si>
    <t xml:space="preserve">Documented BANT/MEDDIC, inconsistently applied.</t>
  </si>
  <si>
    <t xml:space="preserve">MEDDIC / MEDDPICC enforced, fields in CRM.</t>
  </si>
  <si>
    <t xml:space="preserve">Qualification scoring drives forecast confidence and deal-desk review.</t>
  </si>
  <si>
    <t xml:space="preserve">SP3</t>
  </si>
  <si>
    <t xml:space="preserve">Call Recording &amp; Coaching</t>
  </si>
  <si>
    <t xml:space="preserve">Are sales calls recorded, analysed, and used for coaching?</t>
  </si>
  <si>
    <t xml:space="preserve">No recording.</t>
  </si>
  <si>
    <t xml:space="preserve">Gong / Fireflies installed, rarely reviewed.</t>
  </si>
  <si>
    <t xml:space="preserve">Recordings reviewed ad-hoc in 1:1s.</t>
  </si>
  <si>
    <t xml:space="preserve">Scorecard-driven coaching, weekly review cadence.</t>
  </si>
  <si>
    <t xml:space="preserve">AI insights from call analytics feed back into pipeline + sequences + content.</t>
  </si>
  <si>
    <t xml:space="preserve">Calls coached / rep / month</t>
  </si>
  <si>
    <t xml:space="preserve">SP4</t>
  </si>
  <si>
    <t xml:space="preserve">Proposal / Quote-to-Cash</t>
  </si>
  <si>
    <t xml:space="preserve">How structured is the proposal-to-signature flow?</t>
  </si>
  <si>
    <t xml:space="preserve">Ad-hoc PDFs and email trails.</t>
  </si>
  <si>
    <t xml:space="preserve">Basic proposal template.</t>
  </si>
  <si>
    <t xml:space="preserve">CPQ for standard deals.</t>
  </si>
  <si>
    <t xml:space="preserve">CPQ + approval workflows + e-sign integrated with CRM.</t>
  </si>
  <si>
    <t xml:space="preserve">Full quote-to-cash automation with discount governance and auto-provisioning.</t>
  </si>
  <si>
    <t xml:space="preserve">SP5</t>
  </si>
  <si>
    <t xml:space="preserve">Pipeline Hygiene &amp; Forecast Accuracy</t>
  </si>
  <si>
    <t xml:space="preserve">Is pipeline data trustworthy and is forecast accurate?</t>
  </si>
  <si>
    <t xml:space="preserve">Pipeline is a mess, no forecasting.</t>
  </si>
  <si>
    <t xml:space="preserve">Weekly review, high variance vs actuals.</t>
  </si>
  <si>
    <t xml:space="preserve">Monthly forecast with ~60–70% accuracy.</t>
  </si>
  <si>
    <t xml:space="preserve">Weighted forecast by stage with 80%+ accuracy, deal inspection cadence.</t>
  </si>
  <si>
    <t xml:space="preserve">Predictive AI forecasting with sub-10% variance, deal-desk governance.</t>
  </si>
  <si>
    <t xml:space="preserve">Forecast accuracy % (target ≥85%)</t>
  </si>
  <si>
    <t xml:space="preserve">SP6</t>
  </si>
  <si>
    <t xml:space="preserve">Win/Loss Analysis &amp; Closed-Loss Reactivation</t>
  </si>
  <si>
    <t xml:space="preserve">Are losses understood and re-engaged when signals change?</t>
  </si>
  <si>
    <t xml:space="preserve">Losses never analysed.</t>
  </si>
  <si>
    <t xml:space="preserve">Informal post-mortems on big deals.</t>
  </si>
  <si>
    <t xml:space="preserve">Documented win/loss reasons in CRM.</t>
  </si>
  <si>
    <t xml:space="preserve">Quarterly win/loss program with interviews, feedback to product/marketing.</t>
  </si>
  <si>
    <t xml:space="preserve">Closed-lost re-engagement flows triggered by signals (tech / personnel / funding change).</t>
  </si>
  <si>
    <t xml:space="preserve">SP7</t>
  </si>
  <si>
    <t xml:space="preserve">CRM Deal Management Discipline</t>
  </si>
  <si>
    <t xml:space="preserve">How disciplined is CRM data entry by reps?</t>
  </si>
  <si>
    <t xml:space="preserve">Reps barely use CRM.</t>
  </si>
  <si>
    <t xml:space="preserve">Sporadic updates.</t>
  </si>
  <si>
    <t xml:space="preserve">Required fields enforced, activities partially logged.</t>
  </si>
  <si>
    <t xml:space="preserve">Every activity auto-logged (email/call/meeting), MEDDIC fields maintained.</t>
  </si>
  <si>
    <t xml:space="preserve">CRM is single source; AI summarises calls/emails into CRM automatically.</t>
  </si>
  <si>
    <t xml:space="preserve">% activities auto-captured</t>
  </si>
  <si>
    <t xml:space="preserve">SP8</t>
  </si>
  <si>
    <t xml:space="preserve">Champion Tracking &amp; Buying Committee Mapping</t>
  </si>
  <si>
    <t xml:space="preserve">Are champions and buying committees mapped and tracked?</t>
  </si>
  <si>
    <t xml:space="preserve">Only one contact per account.</t>
  </si>
  <si>
    <t xml:space="preserve">Primary contact + one backup.</t>
  </si>
  <si>
    <t xml:space="preserve">Key personas documented in notes.</t>
  </si>
  <si>
    <t xml:space="preserve">Buying committee mapped in CRM (champion / DM / economic buyer / blockers).</t>
  </si>
  <si>
    <t xml:space="preserve">Multi-threaded with champion-moved tracking (Fireflies / Clay alerts on job changes).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</si>
</sst>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4700"/>
      <name val="Arial"/>
      <family val="0"/>
      <charset val="1"/>
    </font>
    <font>
      <b val="true"/>
      <i val="true"/>
      <sz val="28"/>
      <color rgb="FF121212"/>
      <name val="Georgia"/>
      <family val="0"/>
      <charset val="1"/>
    </font>
    <font>
      <i val="true"/>
      <sz val="11"/>
      <color rgb="FF7C7C7C"/>
      <name val="Arial"/>
      <family val="0"/>
      <charset val="1"/>
    </font>
    <font>
      <b val="true"/>
      <sz val="9"/>
      <color rgb="FFFF4700"/>
      <name val="Arial"/>
      <family val="0"/>
      <charset val="1"/>
    </font>
    <font>
      <b val="true"/>
      <sz val="10"/>
      <color rgb="FF121212"/>
      <name val="Arial"/>
      <family val="0"/>
      <charset val="1"/>
    </font>
    <font>
      <sz val="10"/>
      <color rgb="FF1212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21212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i val="true"/>
      <sz val="32"/>
      <color rgb="FFFF4700"/>
      <name val="Georgia"/>
      <family val="0"/>
      <charset val="1"/>
    </font>
    <font>
      <i val="true"/>
      <sz val="11"/>
      <color rgb="FF121212"/>
      <name val="Arial"/>
      <family val="0"/>
      <charset val="1"/>
    </font>
    <font>
      <b val="true"/>
      <sz val="10"/>
      <color rgb="FFFF4700"/>
      <name val="Arial"/>
      <family val="0"/>
      <charset val="1"/>
    </font>
    <font>
      <i val="true"/>
      <sz val="10"/>
      <color rgb="FF7C7C7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8"/>
      <color rgb="FF121212"/>
      <name val="Georgia"/>
      <family val="0"/>
      <charset val="1"/>
    </font>
    <font>
      <b val="true"/>
      <sz val="11"/>
      <color rgb="FF121212"/>
      <name val="Georgia"/>
      <family val="0"/>
      <charset val="1"/>
    </font>
    <font>
      <i val="true"/>
      <sz val="10"/>
      <color rgb="FF121212"/>
      <name val="Arial"/>
      <family val="0"/>
      <charset val="1"/>
    </font>
    <font>
      <sz val="9"/>
      <color rgb="FF121212"/>
      <name val="Arial"/>
      <family val="0"/>
      <charset val="1"/>
    </font>
    <font>
      <b val="true"/>
      <sz val="14"/>
      <color rgb="FF121212"/>
      <name val="Arial"/>
      <family val="0"/>
      <charset val="1"/>
    </font>
    <font>
      <sz val="9"/>
      <color rgb="FF7C7C7C"/>
      <name val="Arial"/>
      <family val="0"/>
      <charset val="1"/>
    </font>
    <font>
      <i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DFCF9"/>
      </patternFill>
    </fill>
    <fill>
      <patternFill patternType="solid">
        <fgColor rgb="FFFDFCF9"/>
        <bgColor rgb="FFFFFFFF"/>
      </patternFill>
    </fill>
    <fill>
      <patternFill patternType="solid">
        <fgColor rgb="FF121212"/>
        <bgColor rgb="FF000000"/>
      </patternFill>
    </fill>
    <fill>
      <patternFill patternType="solid">
        <fgColor rgb="FFFF4700"/>
        <bgColor rgb="FFFF0000"/>
      </patternFill>
    </fill>
    <fill>
      <patternFill patternType="solid">
        <fgColor rgb="FFF8F7F2"/>
        <bgColor rgb="FFFDFCF9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FF4700"/>
      </bottom>
      <diagonal/>
    </border>
    <border diagonalUp="false" diagonalDown="false">
      <left/>
      <right/>
      <top/>
      <bottom style="thin">
        <color rgb="FFDCDCDC"/>
      </bottom>
      <diagonal/>
    </border>
    <border diagonalUp="false" diagonalDown="false"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 diagonalUp="false" diagonalDown="false">
      <left style="thin">
        <color rgb="FFDCDCDC"/>
      </left>
      <right/>
      <top style="thin">
        <color rgb="FFDCDCDC"/>
      </top>
      <bottom style="thin">
        <color rgb="FFDCDCDC"/>
      </bottom>
      <diagonal/>
    </border>
    <border diagonalUp="false" diagonalDown="false">
      <left/>
      <right/>
      <top/>
      <bottom style="thin">
        <color rgb="FFFF47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2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2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2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2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3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DD9D0"/>
        </patternFill>
      </fill>
    </dxf>
    <dxf>
      <fill>
        <patternFill>
          <bgColor rgb="FFFFE9CC"/>
        </patternFill>
      </fill>
    </dxf>
    <dxf>
      <fill>
        <patternFill>
          <bgColor rgb="FFD6EF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CDCDC"/>
      <rgbColor rgb="FF7C7C7C"/>
      <rgbColor rgb="FF9999FF"/>
      <rgbColor rgb="FF993366"/>
      <rgbColor rgb="FFF8F7F2"/>
      <rgbColor rgb="FFFDFCF9"/>
      <rgbColor rgb="FF660066"/>
      <rgbColor rgb="FFFF8080"/>
      <rgbColor rgb="FF2E5F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FD6"/>
      <rgbColor rgb="FFFFE9CC"/>
      <rgbColor rgb="FF99CCFF"/>
      <rgbColor rgb="FFFF99CC"/>
      <rgbColor rgb="FFCC99FF"/>
      <rgbColor rgb="FFFDD9D0"/>
      <rgbColor rgb="FF397BCA"/>
      <rgbColor rgb="FF33CCCC"/>
      <rgbColor rgb="FF99CC00"/>
      <rgbColor rgb="FFFFCC00"/>
      <rgbColor rgb="FFFF9900"/>
      <rgbColor rgb="FFFF4700"/>
      <rgbColor rgb="FF666699"/>
      <rgbColor rgb="FF878787"/>
      <rgbColor rgb="FF003366"/>
      <rgbColor rgb="FF339966"/>
      <rgbColor rgb="FF121212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6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Maturity radar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filled"/>
        <c:varyColors val="0"/>
        <c:ser>
          <c:idx val="0"/>
          <c:order val="0"/>
          <c:tx>
            <c:strRef>
              <c:f>Summary!J7</c:f>
              <c:strCache>
                <c:ptCount val="1"/>
                <c:pt idx="0">
                  <c:v>Score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12600">
              <a:noFill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Summary!$I$8:$I$14</c:f>
              <c:strCache>
                <c:ptCount val="7"/>
                <c:pt idx="0">
                  <c:v>1. Brand &amp; Positioning</c:v>
                </c:pt>
                <c:pt idx="1">
                  <c:v>2. Data Layer</c:v>
                </c:pt>
                <c:pt idx="2">
                  <c:v>3. Signal Layer</c:v>
                </c:pt>
                <c:pt idx="3">
                  <c:v>4. Execution — RevOps</c:v>
                </c:pt>
                <c:pt idx="4">
                  <c:v>5. Execution — Outbound</c:v>
                </c:pt>
                <c:pt idx="5">
                  <c:v>6. Execution — Ads</c:v>
                </c:pt>
                <c:pt idx="6">
                  <c:v>7. Sales Process</c:v>
                </c:pt>
              </c:strCache>
            </c:strRef>
          </c:cat>
          <c:val>
            <c:numRef>
              <c:f>Summary!$J$8:$J$14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19379554"/>
        <c:axId val="33305165"/>
      </c:radarChart>
      <c:catAx>
        <c:axId val="1937955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305165"/>
        <c:crosses val="autoZero"/>
        <c:auto val="1"/>
        <c:lblAlgn val="ctr"/>
        <c:lblOffset val="100"/>
        <c:noMultiLvlLbl val="0"/>
      </c:catAx>
      <c:valAx>
        <c:axId val="33305165"/>
        <c:scaling>
          <c:orientation val="minMax"/>
          <c:max val="32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37955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34</xdr:row>
      <xdr:rowOff>0</xdr:rowOff>
    </xdr:from>
    <xdr:to>
      <xdr:col>5</xdr:col>
      <xdr:colOff>669600</xdr:colOff>
      <xdr:row>54</xdr:row>
      <xdr:rowOff>149400</xdr:rowOff>
    </xdr:to>
    <xdr:graphicFrame>
      <xdr:nvGraphicFramePr>
        <xdr:cNvPr id="1" name="Chart 1"/>
        <xdr:cNvGraphicFramePr/>
      </xdr:nvGraphicFramePr>
      <xdr:xfrm>
        <a:off x="211320" y="1116324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3"/>
    <col collapsed="false" customWidth="true" hidden="false" outlineLevel="0" max="10" min="9" style="0" width="28"/>
    <col collapsed="false" customWidth="true" hidden="false" outlineLevel="0" max="11" min="11" style="0" width="12"/>
  </cols>
  <sheetData>
    <row r="1" customFormat="false" ht="12" hidden="false" customHeight="true" outlineLevel="0" collapsed="false"/>
    <row r="2" customFormat="false" ht="49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60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4" customFormat="false" ht="21.75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  <c r="K4" s="3"/>
    </row>
    <row r="5" customFormat="false" ht="7.5" hidden="false" customHeight="true" outlineLevel="0" collapsed="false"/>
    <row r="6" customFormat="false" ht="15" hidden="false" customHeight="false" outlineLevel="0" collapsed="false">
      <c r="B6" s="4" t="s">
        <v>3</v>
      </c>
      <c r="C6" s="4"/>
      <c r="D6" s="4"/>
      <c r="E6" s="4"/>
      <c r="F6" s="4"/>
      <c r="G6" s="4"/>
      <c r="I6" s="4" t="s">
        <v>4</v>
      </c>
      <c r="J6" s="4"/>
      <c r="K6" s="4"/>
    </row>
    <row r="7" customFormat="false" ht="24" hidden="false" customHeight="true" outlineLevel="0" collapsed="false">
      <c r="B7" s="5" t="s">
        <v>5</v>
      </c>
      <c r="C7" s="6"/>
      <c r="D7" s="6"/>
      <c r="E7" s="6"/>
      <c r="F7" s="6"/>
      <c r="G7" s="6"/>
      <c r="I7" s="7" t="s">
        <v>6</v>
      </c>
      <c r="J7" s="7" t="s">
        <v>7</v>
      </c>
      <c r="K7" s="7" t="s">
        <v>8</v>
      </c>
    </row>
    <row r="8" customFormat="false" ht="21.75" hidden="false" customHeight="true" outlineLevel="0" collapsed="false">
      <c r="B8" s="5" t="s">
        <v>9</v>
      </c>
      <c r="C8" s="6"/>
      <c r="D8" s="6"/>
      <c r="E8" s="6"/>
      <c r="F8" s="6"/>
      <c r="G8" s="6"/>
      <c r="I8" s="8" t="s">
        <v>10</v>
      </c>
      <c r="J8" s="9" t="n">
        <f aca="false">'1. Brand &amp; Positioning'!I13</f>
        <v>0</v>
      </c>
      <c r="K8" s="10" t="n">
        <f aca="false">IFERROR(J8/32,0)</f>
        <v>0</v>
      </c>
    </row>
    <row r="9" customFormat="false" ht="21.75" hidden="false" customHeight="true" outlineLevel="0" collapsed="false">
      <c r="B9" s="5" t="s">
        <v>11</v>
      </c>
      <c r="C9" s="6"/>
      <c r="D9" s="6"/>
      <c r="E9" s="6"/>
      <c r="F9" s="6"/>
      <c r="G9" s="6"/>
      <c r="I9" s="8" t="s">
        <v>12</v>
      </c>
      <c r="J9" s="9" t="n">
        <f aca="false">'2. Data Layer'!I13</f>
        <v>0</v>
      </c>
      <c r="K9" s="10" t="n">
        <f aca="false">IFERROR(J9/32,0)</f>
        <v>0</v>
      </c>
    </row>
    <row r="10" customFormat="false" ht="21.75" hidden="false" customHeight="true" outlineLevel="0" collapsed="false">
      <c r="B10" s="5" t="s">
        <v>13</v>
      </c>
      <c r="C10" s="6"/>
      <c r="D10" s="6"/>
      <c r="E10" s="6"/>
      <c r="F10" s="6"/>
      <c r="G10" s="6"/>
      <c r="I10" s="8" t="s">
        <v>14</v>
      </c>
      <c r="J10" s="9" t="n">
        <f aca="false">'3. Signal Layer'!I13</f>
        <v>0</v>
      </c>
      <c r="K10" s="10" t="n">
        <f aca="false">IFERROR(J10/32,0)</f>
        <v>0</v>
      </c>
    </row>
    <row r="11" customFormat="false" ht="21.75" hidden="false" customHeight="true" outlineLevel="0" collapsed="false">
      <c r="B11" s="5" t="s">
        <v>15</v>
      </c>
      <c r="C11" s="6"/>
      <c r="D11" s="6"/>
      <c r="E11" s="6"/>
      <c r="F11" s="6"/>
      <c r="G11" s="6"/>
      <c r="I11" s="8" t="s">
        <v>16</v>
      </c>
      <c r="J11" s="9" t="n">
        <f aca="false">'4. Execution — RevOps'!I13</f>
        <v>0</v>
      </c>
      <c r="K11" s="10" t="n">
        <f aca="false">IFERROR(J11/32,0)</f>
        <v>0</v>
      </c>
    </row>
    <row r="12" customFormat="false" ht="21.75" hidden="false" customHeight="true" outlineLevel="0" collapsed="false">
      <c r="B12" s="5" t="s">
        <v>17</v>
      </c>
      <c r="C12" s="6"/>
      <c r="D12" s="6"/>
      <c r="E12" s="6"/>
      <c r="F12" s="6"/>
      <c r="G12" s="6"/>
      <c r="I12" s="8" t="s">
        <v>18</v>
      </c>
      <c r="J12" s="9" t="n">
        <f aca="false">'5. Execution — Outbound'!I13</f>
        <v>0</v>
      </c>
      <c r="K12" s="10" t="n">
        <f aca="false">IFERROR(J12/32,0)</f>
        <v>0</v>
      </c>
    </row>
    <row r="13" customFormat="false" ht="21.75" hidden="false" customHeight="true" outlineLevel="0" collapsed="false">
      <c r="B13" s="5" t="s">
        <v>19</v>
      </c>
      <c r="C13" s="6"/>
      <c r="D13" s="6"/>
      <c r="E13" s="6"/>
      <c r="F13" s="6"/>
      <c r="G13" s="6"/>
      <c r="I13" s="8" t="s">
        <v>20</v>
      </c>
      <c r="J13" s="9" t="n">
        <f aca="false">'6. Execution — Ads'!I13</f>
        <v>0</v>
      </c>
      <c r="K13" s="10" t="n">
        <f aca="false">IFERROR(J13/32,0)</f>
        <v>0</v>
      </c>
    </row>
    <row r="14" customFormat="false" ht="21.75" hidden="false" customHeight="true" outlineLevel="0" collapsed="false">
      <c r="I14" s="8" t="s">
        <v>21</v>
      </c>
      <c r="J14" s="9" t="n">
        <f aca="false">'7. Sales Process'!I13</f>
        <v>0</v>
      </c>
      <c r="K14" s="10" t="n">
        <f aca="false">IFERROR(J14/32,0)</f>
        <v>0</v>
      </c>
    </row>
    <row r="15" customFormat="false" ht="25.5" hidden="false" customHeight="true" outlineLevel="0" collapsed="false">
      <c r="I15" s="11" t="s">
        <v>22</v>
      </c>
      <c r="J15" s="12" t="n">
        <f aca="false">SUM(J8:J14)</f>
        <v>0</v>
      </c>
      <c r="K15" s="13" t="n">
        <f aca="false">J15/224</f>
        <v>0</v>
      </c>
    </row>
    <row r="17" customFormat="false" ht="7.5" hidden="false" customHeight="true" outlineLevel="0" collapsed="false"/>
    <row r="18" customFormat="false" ht="21.75" hidden="false" customHeight="true" outlineLevel="0" collapsed="false">
      <c r="B18" s="4" t="s">
        <v>23</v>
      </c>
      <c r="C18" s="4"/>
      <c r="D18" s="4"/>
      <c r="E18" s="4"/>
      <c r="F18" s="4"/>
      <c r="G18" s="4"/>
      <c r="H18" s="4"/>
      <c r="I18" s="4"/>
      <c r="J18" s="4"/>
      <c r="K18" s="4"/>
    </row>
    <row r="19" customFormat="false" ht="60" hidden="false" customHeight="true" outlineLevel="0" collapsed="false">
      <c r="B19" s="14" t="str">
        <f aca="false">IF(J15=0,"— score the audit to see the band —",IF(J15&lt;=56,"FOUNDATION",IF(J15&lt;=112,"BUILDING",IF(J15&lt;=168,"SCALING","COMPOUNDING"))))</f>
        <v>— score the audit to see the band —</v>
      </c>
      <c r="C19" s="14"/>
      <c r="D19" s="14"/>
      <c r="E19" s="14"/>
      <c r="F19" s="14"/>
      <c r="G19" s="15" t="str">
        <f aca="false">IF(J15=0,"Fill the audit tabs to generate an overall maturity read.",IF(J15&lt;=56,"No GTM infrastructure. Founder-led, scattered. Start with the Data Layer.",IF(J15&lt;=112,"Tools in place, not wired together. Priority is Data + RevOps fundamentals.",IF(J15&lt;=168,"Systems forming. Room to deepen signal capture, ads, and multi-channel execution.","System-led GTM. Opportunity for advanced plays — ABM, Content Engine, AI agents."))))</f>
        <v>Fill the audit tabs to generate an overall maturity read.</v>
      </c>
      <c r="H19" s="15"/>
      <c r="I19" s="15"/>
      <c r="J19" s="15"/>
      <c r="K19" s="15"/>
    </row>
    <row r="21" customFormat="false" ht="19.5" hidden="false" customHeight="true" outlineLevel="0" collapsed="false">
      <c r="B21" s="16" t="s">
        <v>24</v>
      </c>
      <c r="C21" s="17" t="s">
        <v>25</v>
      </c>
      <c r="D21" s="18" t="s">
        <v>26</v>
      </c>
      <c r="E21" s="18"/>
      <c r="F21" s="18"/>
      <c r="G21" s="18"/>
      <c r="H21" s="18"/>
      <c r="I21" s="18"/>
      <c r="J21" s="18"/>
      <c r="K21" s="18"/>
    </row>
    <row r="22" customFormat="false" ht="19.5" hidden="false" customHeight="true" outlineLevel="0" collapsed="false">
      <c r="B22" s="16" t="s">
        <v>27</v>
      </c>
      <c r="C22" s="17" t="s">
        <v>28</v>
      </c>
      <c r="D22" s="18" t="s">
        <v>29</v>
      </c>
      <c r="E22" s="18"/>
      <c r="F22" s="18"/>
      <c r="G22" s="18"/>
      <c r="H22" s="18"/>
      <c r="I22" s="18"/>
      <c r="J22" s="18"/>
      <c r="K22" s="18"/>
    </row>
    <row r="23" customFormat="false" ht="19.5" hidden="false" customHeight="true" outlineLevel="0" collapsed="false">
      <c r="B23" s="16" t="s">
        <v>30</v>
      </c>
      <c r="C23" s="17" t="s">
        <v>31</v>
      </c>
      <c r="D23" s="18" t="s">
        <v>32</v>
      </c>
      <c r="E23" s="18"/>
      <c r="F23" s="18"/>
      <c r="G23" s="18"/>
      <c r="H23" s="18"/>
      <c r="I23" s="18"/>
      <c r="J23" s="18"/>
      <c r="K23" s="18"/>
    </row>
    <row r="24" customFormat="false" ht="19.5" hidden="false" customHeight="true" outlineLevel="0" collapsed="false">
      <c r="B24" s="16" t="s">
        <v>33</v>
      </c>
      <c r="C24" s="17" t="s">
        <v>34</v>
      </c>
      <c r="D24" s="18" t="s">
        <v>35</v>
      </c>
      <c r="E24" s="18"/>
      <c r="F24" s="18"/>
      <c r="G24" s="18"/>
      <c r="H24" s="18"/>
      <c r="I24" s="18"/>
      <c r="J24" s="18"/>
      <c r="K24" s="18"/>
    </row>
    <row r="26" customFormat="false" ht="7.5" hidden="false" customHeight="true" outlineLevel="0" collapsed="false"/>
    <row r="27" customFormat="false" ht="21.75" hidden="false" customHeight="true" outlineLevel="0" collapsed="false">
      <c r="B27" s="4" t="s">
        <v>36</v>
      </c>
      <c r="C27" s="4"/>
      <c r="D27" s="4"/>
      <c r="E27" s="4"/>
      <c r="F27" s="4"/>
      <c r="G27" s="4"/>
      <c r="H27" s="4"/>
      <c r="I27" s="4"/>
      <c r="J27" s="4"/>
      <c r="K27" s="4"/>
    </row>
    <row r="28" customFormat="false" ht="48" hidden="false" customHeight="true" outlineLevel="0" collapsed="false">
      <c r="B28" s="19" t="s">
        <v>37</v>
      </c>
      <c r="C28" s="20"/>
      <c r="D28" s="20"/>
      <c r="E28" s="20"/>
      <c r="F28" s="20"/>
      <c r="G28" s="20"/>
      <c r="H28" s="20"/>
      <c r="I28" s="20"/>
      <c r="J28" s="20"/>
      <c r="K28" s="20"/>
    </row>
    <row r="29" customFormat="false" ht="48" hidden="false" customHeight="true" outlineLevel="0" collapsed="false">
      <c r="B29" s="19" t="s">
        <v>38</v>
      </c>
      <c r="C29" s="20"/>
      <c r="D29" s="20"/>
      <c r="E29" s="20"/>
      <c r="F29" s="20"/>
      <c r="G29" s="20"/>
      <c r="H29" s="20"/>
      <c r="I29" s="20"/>
      <c r="J29" s="20"/>
      <c r="K29" s="20"/>
    </row>
    <row r="30" customFormat="false" ht="48" hidden="false" customHeight="true" outlineLevel="0" collapsed="false">
      <c r="B30" s="19" t="s">
        <v>39</v>
      </c>
      <c r="C30" s="20"/>
      <c r="D30" s="20"/>
      <c r="E30" s="20"/>
      <c r="F30" s="20"/>
      <c r="G30" s="20"/>
      <c r="H30" s="20"/>
      <c r="I30" s="20"/>
      <c r="J30" s="20"/>
      <c r="K30" s="20"/>
    </row>
    <row r="31" customFormat="false" ht="48" hidden="false" customHeight="true" outlineLevel="0" collapsed="false">
      <c r="B31" s="19" t="s">
        <v>40</v>
      </c>
      <c r="C31" s="20"/>
      <c r="D31" s="20"/>
      <c r="E31" s="20"/>
      <c r="F31" s="20"/>
      <c r="G31" s="20"/>
      <c r="H31" s="20"/>
      <c r="I31" s="20"/>
      <c r="J31" s="20"/>
      <c r="K31" s="20"/>
    </row>
    <row r="32" customFormat="false" ht="48" hidden="false" customHeight="true" outlineLevel="0" collapsed="false">
      <c r="B32" s="19" t="s">
        <v>41</v>
      </c>
      <c r="C32" s="20"/>
      <c r="D32" s="20"/>
      <c r="E32" s="20"/>
      <c r="F32" s="20"/>
      <c r="G32" s="20"/>
      <c r="H32" s="20"/>
      <c r="I32" s="20"/>
      <c r="J32" s="20"/>
      <c r="K32" s="20"/>
    </row>
  </sheetData>
  <mergeCells count="25">
    <mergeCell ref="B2:K2"/>
    <mergeCell ref="B3:K3"/>
    <mergeCell ref="B4:K4"/>
    <mergeCell ref="B6:G6"/>
    <mergeCell ref="I6:K6"/>
    <mergeCell ref="C7:G7"/>
    <mergeCell ref="C8:G8"/>
    <mergeCell ref="C9:G9"/>
    <mergeCell ref="C10:G10"/>
    <mergeCell ref="C11:G11"/>
    <mergeCell ref="C12:G12"/>
    <mergeCell ref="C13:G13"/>
    <mergeCell ref="B18:K18"/>
    <mergeCell ref="B19:F19"/>
    <mergeCell ref="G19:K19"/>
    <mergeCell ref="D21:K21"/>
    <mergeCell ref="D22:K22"/>
    <mergeCell ref="D23:K23"/>
    <mergeCell ref="D24:K24"/>
    <mergeCell ref="B27:K27"/>
    <mergeCell ref="C28:K28"/>
    <mergeCell ref="C29:K29"/>
    <mergeCell ref="C30:K30"/>
    <mergeCell ref="C31:K31"/>
    <mergeCell ref="C32:K32"/>
  </mergeCells>
  <conditionalFormatting sqref="J8:J14">
    <cfRule type="cellIs" priority="2" operator="lessThanOrEqual" aboveAverage="0" equalAverage="0" bottom="0" percent="0" rank="0" text="" dxfId="0">
      <formula>8</formula>
    </cfRule>
    <cfRule type="cellIs" priority="3" operator="between" aboveAverage="0" equalAverage="0" bottom="0" percent="0" rank="0" text="" dxfId="1">
      <formula>9</formula>
      <formula>16</formula>
    </cfRule>
    <cfRule type="cellIs" priority="4" operator="greaterThanOrEqual" aboveAverage="0" equalAverage="0" bottom="0" percent="0" rank="0" text="" dxfId="2">
      <formula>17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8" min="4" style="0" width="24"/>
    <col collapsed="false" customWidth="true" hidden="false" outlineLevel="0" max="9" min="9" style="0" width="8"/>
    <col collapsed="false" customWidth="true" hidden="false" outlineLevel="0" max="10" min="10" style="0" width="26"/>
    <col collapsed="false" customWidth="true" hidden="false" outlineLevel="0" max="11" min="11" style="0" width="12"/>
    <col collapsed="false" customWidth="true" hidden="false" outlineLevel="0" max="12" min="12" style="0" width="36"/>
  </cols>
  <sheetData>
    <row r="1" customFormat="false" ht="39.75" hidden="false" customHeight="true" outlineLevel="0" collapsed="false">
      <c r="A1" s="21" t="s">
        <v>42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customFormat="false" ht="27.75" hidden="false" customHeight="true" outlineLevel="0" collapsed="false">
      <c r="A2" s="22" t="s">
        <v>43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customFormat="false" ht="7.5" hidden="false" customHeight="true" outlineLevel="0" collapsed="false"/>
    <row r="4" customFormat="false" ht="31.5" hidden="false" customHeight="true" outlineLevel="0" collapsed="false">
      <c r="A4" s="7" t="s">
        <v>44</v>
      </c>
      <c r="B4" s="7" t="s">
        <v>45</v>
      </c>
      <c r="C4" s="7" t="s">
        <v>46</v>
      </c>
      <c r="D4" s="7" t="s">
        <v>47</v>
      </c>
      <c r="E4" s="7" t="s">
        <v>48</v>
      </c>
      <c r="F4" s="7" t="s">
        <v>49</v>
      </c>
      <c r="G4" s="7" t="s">
        <v>50</v>
      </c>
      <c r="H4" s="7" t="s">
        <v>51</v>
      </c>
      <c r="I4" s="7" t="s">
        <v>7</v>
      </c>
      <c r="J4" s="7" t="s">
        <v>52</v>
      </c>
      <c r="K4" s="7" t="s">
        <v>53</v>
      </c>
      <c r="L4" s="7" t="s">
        <v>54</v>
      </c>
    </row>
    <row r="5" customFormat="false" ht="85.5" hidden="false" customHeight="true" outlineLevel="0" collapsed="false">
      <c r="A5" s="23" t="s">
        <v>55</v>
      </c>
      <c r="B5" s="24" t="s">
        <v>56</v>
      </c>
      <c r="C5" s="25" t="s">
        <v>57</v>
      </c>
      <c r="D5" s="26" t="s">
        <v>58</v>
      </c>
      <c r="E5" s="26" t="s">
        <v>59</v>
      </c>
      <c r="F5" s="26" t="s">
        <v>60</v>
      </c>
      <c r="G5" s="26" t="s">
        <v>61</v>
      </c>
      <c r="H5" s="26" t="s">
        <v>62</v>
      </c>
      <c r="I5" s="27"/>
      <c r="J5" s="28"/>
      <c r="K5" s="29"/>
      <c r="L5" s="30"/>
    </row>
    <row r="6" customFormat="false" ht="85.5" hidden="false" customHeight="true" outlineLevel="0" collapsed="false">
      <c r="A6" s="31" t="s">
        <v>63</v>
      </c>
      <c r="B6" s="32" t="s">
        <v>64</v>
      </c>
      <c r="C6" s="33" t="s">
        <v>65</v>
      </c>
      <c r="D6" s="34" t="s">
        <v>66</v>
      </c>
      <c r="E6" s="34" t="s">
        <v>67</v>
      </c>
      <c r="F6" s="34" t="s">
        <v>68</v>
      </c>
      <c r="G6" s="34" t="s">
        <v>69</v>
      </c>
      <c r="H6" s="34" t="s">
        <v>70</v>
      </c>
      <c r="I6" s="27"/>
      <c r="J6" s="35"/>
      <c r="K6" s="29"/>
      <c r="L6" s="30"/>
    </row>
    <row r="7" customFormat="false" ht="85.5" hidden="false" customHeight="true" outlineLevel="0" collapsed="false">
      <c r="A7" s="23" t="s">
        <v>71</v>
      </c>
      <c r="B7" s="24" t="s">
        <v>72</v>
      </c>
      <c r="C7" s="25" t="s">
        <v>73</v>
      </c>
      <c r="D7" s="26" t="s">
        <v>74</v>
      </c>
      <c r="E7" s="26" t="s">
        <v>75</v>
      </c>
      <c r="F7" s="26" t="s">
        <v>76</v>
      </c>
      <c r="G7" s="26" t="s">
        <v>77</v>
      </c>
      <c r="H7" s="26" t="s">
        <v>78</v>
      </c>
      <c r="I7" s="27"/>
      <c r="J7" s="28" t="s">
        <v>79</v>
      </c>
      <c r="K7" s="29"/>
      <c r="L7" s="30"/>
    </row>
    <row r="8" customFormat="false" ht="85.5" hidden="false" customHeight="true" outlineLevel="0" collapsed="false">
      <c r="A8" s="31" t="s">
        <v>80</v>
      </c>
      <c r="B8" s="32" t="s">
        <v>81</v>
      </c>
      <c r="C8" s="33" t="s">
        <v>82</v>
      </c>
      <c r="D8" s="34" t="s">
        <v>83</v>
      </c>
      <c r="E8" s="34" t="s">
        <v>84</v>
      </c>
      <c r="F8" s="34" t="s">
        <v>85</v>
      </c>
      <c r="G8" s="34" t="s">
        <v>86</v>
      </c>
      <c r="H8" s="34" t="s">
        <v>87</v>
      </c>
      <c r="I8" s="27"/>
      <c r="J8" s="35" t="s">
        <v>88</v>
      </c>
      <c r="K8" s="29"/>
      <c r="L8" s="30"/>
    </row>
    <row r="9" customFormat="false" ht="85.5" hidden="false" customHeight="true" outlineLevel="0" collapsed="false">
      <c r="A9" s="23" t="s">
        <v>89</v>
      </c>
      <c r="B9" s="24" t="s">
        <v>90</v>
      </c>
      <c r="C9" s="25" t="s">
        <v>91</v>
      </c>
      <c r="D9" s="26" t="s">
        <v>92</v>
      </c>
      <c r="E9" s="26" t="s">
        <v>93</v>
      </c>
      <c r="F9" s="26" t="s">
        <v>94</v>
      </c>
      <c r="G9" s="26" t="s">
        <v>95</v>
      </c>
      <c r="H9" s="26" t="s">
        <v>96</v>
      </c>
      <c r="I9" s="27"/>
      <c r="J9" s="28" t="s">
        <v>97</v>
      </c>
      <c r="K9" s="29"/>
      <c r="L9" s="30"/>
    </row>
    <row r="10" customFormat="false" ht="85.5" hidden="false" customHeight="true" outlineLevel="0" collapsed="false">
      <c r="A10" s="31" t="s">
        <v>98</v>
      </c>
      <c r="B10" s="32" t="s">
        <v>99</v>
      </c>
      <c r="C10" s="33" t="s">
        <v>100</v>
      </c>
      <c r="D10" s="34" t="s">
        <v>101</v>
      </c>
      <c r="E10" s="34" t="s">
        <v>102</v>
      </c>
      <c r="F10" s="34" t="s">
        <v>103</v>
      </c>
      <c r="G10" s="34" t="s">
        <v>104</v>
      </c>
      <c r="H10" s="34" t="s">
        <v>105</v>
      </c>
      <c r="I10" s="27"/>
      <c r="J10" s="35" t="s">
        <v>106</v>
      </c>
      <c r="K10" s="29"/>
      <c r="L10" s="30"/>
    </row>
    <row r="11" customFormat="false" ht="85.5" hidden="false" customHeight="true" outlineLevel="0" collapsed="false">
      <c r="A11" s="23" t="s">
        <v>107</v>
      </c>
      <c r="B11" s="24" t="s">
        <v>108</v>
      </c>
      <c r="C11" s="25" t="s">
        <v>109</v>
      </c>
      <c r="D11" s="26" t="s">
        <v>110</v>
      </c>
      <c r="E11" s="26" t="s">
        <v>111</v>
      </c>
      <c r="F11" s="26" t="s">
        <v>112</v>
      </c>
      <c r="G11" s="26" t="s">
        <v>113</v>
      </c>
      <c r="H11" s="26" t="s">
        <v>114</v>
      </c>
      <c r="I11" s="27"/>
      <c r="J11" s="28"/>
      <c r="K11" s="29"/>
      <c r="L11" s="30"/>
    </row>
    <row r="12" customFormat="false" ht="85.5" hidden="false" customHeight="true" outlineLevel="0" collapsed="false">
      <c r="A12" s="31" t="s">
        <v>115</v>
      </c>
      <c r="B12" s="32" t="s">
        <v>116</v>
      </c>
      <c r="C12" s="33" t="s">
        <v>117</v>
      </c>
      <c r="D12" s="34" t="s">
        <v>118</v>
      </c>
      <c r="E12" s="34" t="s">
        <v>119</v>
      </c>
      <c r="F12" s="34" t="s">
        <v>120</v>
      </c>
      <c r="G12" s="34" t="s">
        <v>121</v>
      </c>
      <c r="H12" s="34" t="s">
        <v>122</v>
      </c>
      <c r="I12" s="27"/>
      <c r="J12" s="35"/>
      <c r="K12" s="29"/>
      <c r="L12" s="30"/>
    </row>
    <row r="13" customFormat="false" ht="27.75" hidden="false" customHeight="true" outlineLevel="0" collapsed="false">
      <c r="A13" s="36" t="s">
        <v>123</v>
      </c>
      <c r="B13" s="36"/>
      <c r="C13" s="36"/>
      <c r="D13" s="36"/>
      <c r="E13" s="36"/>
      <c r="F13" s="36"/>
      <c r="G13" s="36"/>
      <c r="H13" s="36"/>
      <c r="I13" s="37" t="n">
        <f aca="false">SUM(I5:I12)</f>
        <v>0</v>
      </c>
      <c r="J13" s="38" t="s">
        <v>124</v>
      </c>
      <c r="K13" s="38"/>
      <c r="L13" s="38"/>
    </row>
  </sheetData>
  <mergeCells count="4">
    <mergeCell ref="A1:L1"/>
    <mergeCell ref="A2:L2"/>
    <mergeCell ref="A13:H13"/>
    <mergeCell ref="J13:L13"/>
  </mergeCells>
  <conditionalFormatting sqref="I5:I12">
    <cfRule type="cellIs" priority="2" operator="lessThanOr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2</formula>
    </cfRule>
    <cfRule type="cellIs" priority="4" operator="greaterThanOrEqual" aboveAverage="0" equalAverage="0" bottom="0" percent="0" rank="0" text="" dxfId="2">
      <formula>3</formula>
    </cfRule>
  </conditionalFormatting>
  <dataValidations count="1">
    <dataValidation allowBlank="true" error="Score must be 0-4" errorStyle="stop" errorTitle="Invalid score" operator="between" prompt="Enter maturity score 0-4" promptTitle="Maturity score" showDropDown="false" showErrorMessage="false" showInputMessage="false" sqref="I5:I12" type="list">
      <formula1>"0,1,2,3,4"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8" min="4" style="0" width="24"/>
    <col collapsed="false" customWidth="true" hidden="false" outlineLevel="0" max="9" min="9" style="0" width="8"/>
    <col collapsed="false" customWidth="true" hidden="false" outlineLevel="0" max="10" min="10" style="0" width="26"/>
    <col collapsed="false" customWidth="true" hidden="false" outlineLevel="0" max="11" min="11" style="0" width="12"/>
    <col collapsed="false" customWidth="true" hidden="false" outlineLevel="0" max="12" min="12" style="0" width="36"/>
  </cols>
  <sheetData>
    <row r="1" customFormat="false" ht="39.75" hidden="false" customHeight="true" outlineLevel="0" collapsed="false">
      <c r="A1" s="21" t="s">
        <v>125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customFormat="false" ht="27.75" hidden="false" customHeight="true" outlineLevel="0" collapsed="false">
      <c r="A2" s="22" t="s">
        <v>126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customFormat="false" ht="7.5" hidden="false" customHeight="true" outlineLevel="0" collapsed="false"/>
    <row r="4" customFormat="false" ht="31.5" hidden="false" customHeight="true" outlineLevel="0" collapsed="false">
      <c r="A4" s="7" t="s">
        <v>44</v>
      </c>
      <c r="B4" s="7" t="s">
        <v>45</v>
      </c>
      <c r="C4" s="7" t="s">
        <v>46</v>
      </c>
      <c r="D4" s="7" t="s">
        <v>47</v>
      </c>
      <c r="E4" s="7" t="s">
        <v>48</v>
      </c>
      <c r="F4" s="7" t="s">
        <v>49</v>
      </c>
      <c r="G4" s="7" t="s">
        <v>50</v>
      </c>
      <c r="H4" s="7" t="s">
        <v>51</v>
      </c>
      <c r="I4" s="7" t="s">
        <v>7</v>
      </c>
      <c r="J4" s="7" t="s">
        <v>52</v>
      </c>
      <c r="K4" s="7" t="s">
        <v>53</v>
      </c>
      <c r="L4" s="7" t="s">
        <v>54</v>
      </c>
    </row>
    <row r="5" customFormat="false" ht="85.5" hidden="false" customHeight="true" outlineLevel="0" collapsed="false">
      <c r="A5" s="23" t="s">
        <v>127</v>
      </c>
      <c r="B5" s="24" t="s">
        <v>128</v>
      </c>
      <c r="C5" s="25" t="s">
        <v>129</v>
      </c>
      <c r="D5" s="26" t="s">
        <v>130</v>
      </c>
      <c r="E5" s="26" t="s">
        <v>131</v>
      </c>
      <c r="F5" s="26" t="s">
        <v>132</v>
      </c>
      <c r="G5" s="26" t="s">
        <v>133</v>
      </c>
      <c r="H5" s="26" t="s">
        <v>134</v>
      </c>
      <c r="I5" s="27"/>
      <c r="J5" s="28" t="s">
        <v>135</v>
      </c>
      <c r="K5" s="29"/>
      <c r="L5" s="30"/>
    </row>
    <row r="6" customFormat="false" ht="85.5" hidden="false" customHeight="true" outlineLevel="0" collapsed="false">
      <c r="A6" s="31" t="s">
        <v>136</v>
      </c>
      <c r="B6" s="32" t="s">
        <v>137</v>
      </c>
      <c r="C6" s="33" t="s">
        <v>138</v>
      </c>
      <c r="D6" s="34" t="s">
        <v>139</v>
      </c>
      <c r="E6" s="34" t="s">
        <v>140</v>
      </c>
      <c r="F6" s="34" t="s">
        <v>141</v>
      </c>
      <c r="G6" s="34" t="s">
        <v>142</v>
      </c>
      <c r="H6" s="34" t="s">
        <v>143</v>
      </c>
      <c r="I6" s="27"/>
      <c r="J6" s="35" t="s">
        <v>144</v>
      </c>
      <c r="K6" s="29"/>
      <c r="L6" s="30"/>
    </row>
    <row r="7" customFormat="false" ht="85.5" hidden="false" customHeight="true" outlineLevel="0" collapsed="false">
      <c r="A7" s="23" t="s">
        <v>145</v>
      </c>
      <c r="B7" s="24" t="s">
        <v>146</v>
      </c>
      <c r="C7" s="25" t="s">
        <v>147</v>
      </c>
      <c r="D7" s="26" t="s">
        <v>148</v>
      </c>
      <c r="E7" s="26" t="s">
        <v>149</v>
      </c>
      <c r="F7" s="26" t="s">
        <v>150</v>
      </c>
      <c r="G7" s="26" t="s">
        <v>151</v>
      </c>
      <c r="H7" s="26" t="s">
        <v>152</v>
      </c>
      <c r="I7" s="27"/>
      <c r="J7" s="28" t="s">
        <v>153</v>
      </c>
      <c r="K7" s="29"/>
      <c r="L7" s="30"/>
    </row>
    <row r="8" customFormat="false" ht="85.5" hidden="false" customHeight="true" outlineLevel="0" collapsed="false">
      <c r="A8" s="31" t="s">
        <v>154</v>
      </c>
      <c r="B8" s="32" t="s">
        <v>155</v>
      </c>
      <c r="C8" s="33" t="s">
        <v>156</v>
      </c>
      <c r="D8" s="34" t="s">
        <v>157</v>
      </c>
      <c r="E8" s="34" t="s">
        <v>158</v>
      </c>
      <c r="F8" s="34" t="s">
        <v>159</v>
      </c>
      <c r="G8" s="34" t="s">
        <v>160</v>
      </c>
      <c r="H8" s="34" t="s">
        <v>161</v>
      </c>
      <c r="I8" s="27"/>
      <c r="J8" s="35" t="s">
        <v>162</v>
      </c>
      <c r="K8" s="29"/>
      <c r="L8" s="30"/>
    </row>
    <row r="9" customFormat="false" ht="85.5" hidden="false" customHeight="true" outlineLevel="0" collapsed="false">
      <c r="A9" s="23" t="s">
        <v>163</v>
      </c>
      <c r="B9" s="24" t="s">
        <v>164</v>
      </c>
      <c r="C9" s="25" t="s">
        <v>165</v>
      </c>
      <c r="D9" s="26" t="s">
        <v>166</v>
      </c>
      <c r="E9" s="26" t="s">
        <v>167</v>
      </c>
      <c r="F9" s="26" t="s">
        <v>168</v>
      </c>
      <c r="G9" s="26" t="s">
        <v>169</v>
      </c>
      <c r="H9" s="26" t="s">
        <v>170</v>
      </c>
      <c r="I9" s="27"/>
      <c r="J9" s="28"/>
      <c r="K9" s="29"/>
      <c r="L9" s="30"/>
    </row>
    <row r="10" customFormat="false" ht="85.5" hidden="false" customHeight="true" outlineLevel="0" collapsed="false">
      <c r="A10" s="31" t="s">
        <v>171</v>
      </c>
      <c r="B10" s="32" t="s">
        <v>172</v>
      </c>
      <c r="C10" s="33" t="s">
        <v>173</v>
      </c>
      <c r="D10" s="34" t="s">
        <v>174</v>
      </c>
      <c r="E10" s="34" t="s">
        <v>175</v>
      </c>
      <c r="F10" s="34" t="s">
        <v>176</v>
      </c>
      <c r="G10" s="34" t="s">
        <v>177</v>
      </c>
      <c r="H10" s="34" t="s">
        <v>178</v>
      </c>
      <c r="I10" s="27"/>
      <c r="J10" s="35"/>
      <c r="K10" s="29"/>
      <c r="L10" s="30"/>
    </row>
    <row r="11" customFormat="false" ht="85.5" hidden="false" customHeight="true" outlineLevel="0" collapsed="false">
      <c r="A11" s="23" t="s">
        <v>179</v>
      </c>
      <c r="B11" s="24" t="s">
        <v>180</v>
      </c>
      <c r="C11" s="25" t="s">
        <v>181</v>
      </c>
      <c r="D11" s="26" t="s">
        <v>182</v>
      </c>
      <c r="E11" s="26" t="s">
        <v>183</v>
      </c>
      <c r="F11" s="26" t="s">
        <v>184</v>
      </c>
      <c r="G11" s="26" t="s">
        <v>185</v>
      </c>
      <c r="H11" s="26" t="s">
        <v>186</v>
      </c>
      <c r="I11" s="27"/>
      <c r="J11" s="28" t="s">
        <v>187</v>
      </c>
      <c r="K11" s="29"/>
      <c r="L11" s="30"/>
    </row>
    <row r="12" customFormat="false" ht="85.5" hidden="false" customHeight="true" outlineLevel="0" collapsed="false">
      <c r="A12" s="31" t="s">
        <v>188</v>
      </c>
      <c r="B12" s="32" t="s">
        <v>189</v>
      </c>
      <c r="C12" s="33" t="s">
        <v>190</v>
      </c>
      <c r="D12" s="34" t="s">
        <v>191</v>
      </c>
      <c r="E12" s="34" t="s">
        <v>192</v>
      </c>
      <c r="F12" s="34" t="s">
        <v>193</v>
      </c>
      <c r="G12" s="34" t="s">
        <v>194</v>
      </c>
      <c r="H12" s="34" t="s">
        <v>195</v>
      </c>
      <c r="I12" s="27"/>
      <c r="J12" s="35" t="s">
        <v>196</v>
      </c>
      <c r="K12" s="29"/>
      <c r="L12" s="30"/>
    </row>
    <row r="13" customFormat="false" ht="27.75" hidden="false" customHeight="true" outlineLevel="0" collapsed="false">
      <c r="A13" s="36" t="s">
        <v>123</v>
      </c>
      <c r="B13" s="36"/>
      <c r="C13" s="36"/>
      <c r="D13" s="36"/>
      <c r="E13" s="36"/>
      <c r="F13" s="36"/>
      <c r="G13" s="36"/>
      <c r="H13" s="36"/>
      <c r="I13" s="37" t="n">
        <f aca="false">SUM(I5:I12)</f>
        <v>0</v>
      </c>
      <c r="J13" s="38" t="s">
        <v>124</v>
      </c>
      <c r="K13" s="38"/>
      <c r="L13" s="38"/>
    </row>
  </sheetData>
  <mergeCells count="4">
    <mergeCell ref="A1:L1"/>
    <mergeCell ref="A2:L2"/>
    <mergeCell ref="A13:H13"/>
    <mergeCell ref="J13:L13"/>
  </mergeCells>
  <conditionalFormatting sqref="I5:I12">
    <cfRule type="cellIs" priority="2" operator="lessThanOr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2</formula>
    </cfRule>
    <cfRule type="cellIs" priority="4" operator="greaterThanOrEqual" aboveAverage="0" equalAverage="0" bottom="0" percent="0" rank="0" text="" dxfId="2">
      <formula>3</formula>
    </cfRule>
  </conditionalFormatting>
  <dataValidations count="1">
    <dataValidation allowBlank="true" error="Score must be 0-4" errorStyle="stop" errorTitle="Invalid score" operator="between" prompt="Enter maturity score 0-4" promptTitle="Maturity score" showDropDown="false" showErrorMessage="false" showInputMessage="false" sqref="I5:I12" type="list">
      <formula1>"0,1,2,3,4"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8" min="4" style="0" width="24"/>
    <col collapsed="false" customWidth="true" hidden="false" outlineLevel="0" max="9" min="9" style="0" width="8"/>
    <col collapsed="false" customWidth="true" hidden="false" outlineLevel="0" max="10" min="10" style="0" width="26"/>
    <col collapsed="false" customWidth="true" hidden="false" outlineLevel="0" max="11" min="11" style="0" width="12"/>
    <col collapsed="false" customWidth="true" hidden="false" outlineLevel="0" max="12" min="12" style="0" width="36"/>
  </cols>
  <sheetData>
    <row r="1" customFormat="false" ht="39.75" hidden="false" customHeight="true" outlineLevel="0" collapsed="false">
      <c r="A1" s="21" t="s">
        <v>197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customFormat="false" ht="27.75" hidden="false" customHeight="true" outlineLevel="0" collapsed="false">
      <c r="A2" s="22" t="s">
        <v>198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customFormat="false" ht="7.5" hidden="false" customHeight="true" outlineLevel="0" collapsed="false"/>
    <row r="4" customFormat="false" ht="31.5" hidden="false" customHeight="true" outlineLevel="0" collapsed="false">
      <c r="A4" s="7" t="s">
        <v>44</v>
      </c>
      <c r="B4" s="7" t="s">
        <v>45</v>
      </c>
      <c r="C4" s="7" t="s">
        <v>46</v>
      </c>
      <c r="D4" s="7" t="s">
        <v>47</v>
      </c>
      <c r="E4" s="7" t="s">
        <v>48</v>
      </c>
      <c r="F4" s="7" t="s">
        <v>49</v>
      </c>
      <c r="G4" s="7" t="s">
        <v>50</v>
      </c>
      <c r="H4" s="7" t="s">
        <v>51</v>
      </c>
      <c r="I4" s="7" t="s">
        <v>7</v>
      </c>
      <c r="J4" s="7" t="s">
        <v>52</v>
      </c>
      <c r="K4" s="7" t="s">
        <v>53</v>
      </c>
      <c r="L4" s="7" t="s">
        <v>54</v>
      </c>
    </row>
    <row r="5" customFormat="false" ht="85.5" hidden="false" customHeight="true" outlineLevel="0" collapsed="false">
      <c r="A5" s="23" t="s">
        <v>199</v>
      </c>
      <c r="B5" s="24" t="s">
        <v>200</v>
      </c>
      <c r="C5" s="25" t="s">
        <v>201</v>
      </c>
      <c r="D5" s="26" t="s">
        <v>202</v>
      </c>
      <c r="E5" s="26" t="s">
        <v>203</v>
      </c>
      <c r="F5" s="26" t="s">
        <v>204</v>
      </c>
      <c r="G5" s="26" t="s">
        <v>205</v>
      </c>
      <c r="H5" s="26" t="s">
        <v>206</v>
      </c>
      <c r="I5" s="27"/>
      <c r="J5" s="28"/>
      <c r="K5" s="29"/>
      <c r="L5" s="30"/>
    </row>
    <row r="6" customFormat="false" ht="85.5" hidden="false" customHeight="true" outlineLevel="0" collapsed="false">
      <c r="A6" s="31" t="s">
        <v>207</v>
      </c>
      <c r="B6" s="32" t="s">
        <v>208</v>
      </c>
      <c r="C6" s="33" t="s">
        <v>209</v>
      </c>
      <c r="D6" s="34" t="s">
        <v>210</v>
      </c>
      <c r="E6" s="34" t="s">
        <v>211</v>
      </c>
      <c r="F6" s="34" t="s">
        <v>212</v>
      </c>
      <c r="G6" s="34" t="s">
        <v>213</v>
      </c>
      <c r="H6" s="34" t="s">
        <v>214</v>
      </c>
      <c r="I6" s="27"/>
      <c r="J6" s="35" t="s">
        <v>215</v>
      </c>
      <c r="K6" s="29"/>
      <c r="L6" s="30"/>
    </row>
    <row r="7" customFormat="false" ht="85.5" hidden="false" customHeight="true" outlineLevel="0" collapsed="false">
      <c r="A7" s="23" t="s">
        <v>216</v>
      </c>
      <c r="B7" s="24" t="s">
        <v>217</v>
      </c>
      <c r="C7" s="25" t="s">
        <v>218</v>
      </c>
      <c r="D7" s="26" t="s">
        <v>219</v>
      </c>
      <c r="E7" s="26" t="s">
        <v>220</v>
      </c>
      <c r="F7" s="26" t="s">
        <v>221</v>
      </c>
      <c r="G7" s="26" t="s">
        <v>222</v>
      </c>
      <c r="H7" s="26" t="s">
        <v>223</v>
      </c>
      <c r="I7" s="27"/>
      <c r="J7" s="28"/>
      <c r="K7" s="29"/>
      <c r="L7" s="30"/>
    </row>
    <row r="8" customFormat="false" ht="85.5" hidden="false" customHeight="true" outlineLevel="0" collapsed="false">
      <c r="A8" s="31" t="s">
        <v>224</v>
      </c>
      <c r="B8" s="32" t="s">
        <v>225</v>
      </c>
      <c r="C8" s="33" t="s">
        <v>226</v>
      </c>
      <c r="D8" s="34" t="s">
        <v>227</v>
      </c>
      <c r="E8" s="34" t="s">
        <v>228</v>
      </c>
      <c r="F8" s="34" t="s">
        <v>229</v>
      </c>
      <c r="G8" s="34" t="s">
        <v>230</v>
      </c>
      <c r="H8" s="34" t="s">
        <v>231</v>
      </c>
      <c r="I8" s="27"/>
      <c r="J8" s="35"/>
      <c r="K8" s="29"/>
      <c r="L8" s="30"/>
    </row>
    <row r="9" customFormat="false" ht="85.5" hidden="false" customHeight="true" outlineLevel="0" collapsed="false">
      <c r="A9" s="23" t="s">
        <v>232</v>
      </c>
      <c r="B9" s="24" t="s">
        <v>233</v>
      </c>
      <c r="C9" s="25" t="s">
        <v>234</v>
      </c>
      <c r="D9" s="26" t="s">
        <v>235</v>
      </c>
      <c r="E9" s="26" t="s">
        <v>236</v>
      </c>
      <c r="F9" s="26" t="s">
        <v>237</v>
      </c>
      <c r="G9" s="26" t="s">
        <v>238</v>
      </c>
      <c r="H9" s="26" t="s">
        <v>239</v>
      </c>
      <c r="I9" s="27"/>
      <c r="J9" s="28"/>
      <c r="K9" s="29"/>
      <c r="L9" s="30"/>
    </row>
    <row r="10" customFormat="false" ht="85.5" hidden="false" customHeight="true" outlineLevel="0" collapsed="false">
      <c r="A10" s="31" t="s">
        <v>240</v>
      </c>
      <c r="B10" s="32" t="s">
        <v>241</v>
      </c>
      <c r="C10" s="33" t="s">
        <v>242</v>
      </c>
      <c r="D10" s="34" t="s">
        <v>243</v>
      </c>
      <c r="E10" s="34" t="s">
        <v>244</v>
      </c>
      <c r="F10" s="34" t="s">
        <v>245</v>
      </c>
      <c r="G10" s="34" t="s">
        <v>246</v>
      </c>
      <c r="H10" s="34" t="s">
        <v>247</v>
      </c>
      <c r="I10" s="27"/>
      <c r="J10" s="35"/>
      <c r="K10" s="29"/>
      <c r="L10" s="30"/>
    </row>
    <row r="11" customFormat="false" ht="85.5" hidden="false" customHeight="true" outlineLevel="0" collapsed="false">
      <c r="A11" s="23" t="s">
        <v>248</v>
      </c>
      <c r="B11" s="24" t="s">
        <v>249</v>
      </c>
      <c r="C11" s="25" t="s">
        <v>250</v>
      </c>
      <c r="D11" s="26" t="s">
        <v>251</v>
      </c>
      <c r="E11" s="26" t="s">
        <v>252</v>
      </c>
      <c r="F11" s="26" t="s">
        <v>253</v>
      </c>
      <c r="G11" s="26" t="s">
        <v>254</v>
      </c>
      <c r="H11" s="26" t="s">
        <v>255</v>
      </c>
      <c r="I11" s="27"/>
      <c r="J11" s="28" t="s">
        <v>256</v>
      </c>
      <c r="K11" s="29"/>
      <c r="L11" s="30"/>
    </row>
    <row r="12" customFormat="false" ht="85.5" hidden="false" customHeight="true" outlineLevel="0" collapsed="false">
      <c r="A12" s="31" t="s">
        <v>257</v>
      </c>
      <c r="B12" s="32" t="s">
        <v>258</v>
      </c>
      <c r="C12" s="33" t="s">
        <v>259</v>
      </c>
      <c r="D12" s="34" t="s">
        <v>260</v>
      </c>
      <c r="E12" s="34" t="s">
        <v>261</v>
      </c>
      <c r="F12" s="34" t="s">
        <v>262</v>
      </c>
      <c r="G12" s="34" t="s">
        <v>263</v>
      </c>
      <c r="H12" s="34" t="s">
        <v>264</v>
      </c>
      <c r="I12" s="27"/>
      <c r="J12" s="35" t="s">
        <v>265</v>
      </c>
      <c r="K12" s="29"/>
      <c r="L12" s="30"/>
    </row>
    <row r="13" customFormat="false" ht="27.75" hidden="false" customHeight="true" outlineLevel="0" collapsed="false">
      <c r="A13" s="36" t="s">
        <v>123</v>
      </c>
      <c r="B13" s="36"/>
      <c r="C13" s="36"/>
      <c r="D13" s="36"/>
      <c r="E13" s="36"/>
      <c r="F13" s="36"/>
      <c r="G13" s="36"/>
      <c r="H13" s="36"/>
      <c r="I13" s="37" t="n">
        <f aca="false">SUM(I5:I12)</f>
        <v>0</v>
      </c>
      <c r="J13" s="38" t="s">
        <v>124</v>
      </c>
      <c r="K13" s="38"/>
      <c r="L13" s="38"/>
    </row>
  </sheetData>
  <mergeCells count="4">
    <mergeCell ref="A1:L1"/>
    <mergeCell ref="A2:L2"/>
    <mergeCell ref="A13:H13"/>
    <mergeCell ref="J13:L13"/>
  </mergeCells>
  <conditionalFormatting sqref="I5:I12">
    <cfRule type="cellIs" priority="2" operator="lessThanOr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2</formula>
    </cfRule>
    <cfRule type="cellIs" priority="4" operator="greaterThanOrEqual" aboveAverage="0" equalAverage="0" bottom="0" percent="0" rank="0" text="" dxfId="2">
      <formula>3</formula>
    </cfRule>
  </conditionalFormatting>
  <dataValidations count="1">
    <dataValidation allowBlank="true" error="Score must be 0-4" errorStyle="stop" errorTitle="Invalid score" operator="between" prompt="Enter maturity score 0-4" promptTitle="Maturity score" showDropDown="false" showErrorMessage="false" showInputMessage="false" sqref="I5:I12" type="list">
      <formula1>"0,1,2,3,4"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8" min="4" style="0" width="24"/>
    <col collapsed="false" customWidth="true" hidden="false" outlineLevel="0" max="9" min="9" style="0" width="8"/>
    <col collapsed="false" customWidth="true" hidden="false" outlineLevel="0" max="10" min="10" style="0" width="26"/>
    <col collapsed="false" customWidth="true" hidden="false" outlineLevel="0" max="11" min="11" style="0" width="12"/>
    <col collapsed="false" customWidth="true" hidden="false" outlineLevel="0" max="12" min="12" style="0" width="36"/>
  </cols>
  <sheetData>
    <row r="1" customFormat="false" ht="39.75" hidden="false" customHeight="true" outlineLevel="0" collapsed="false">
      <c r="A1" s="21" t="s">
        <v>266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customFormat="false" ht="27.75" hidden="false" customHeight="true" outlineLevel="0" collapsed="false">
      <c r="A2" s="22" t="s">
        <v>267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customFormat="false" ht="7.5" hidden="false" customHeight="true" outlineLevel="0" collapsed="false"/>
    <row r="4" customFormat="false" ht="31.5" hidden="false" customHeight="true" outlineLevel="0" collapsed="false">
      <c r="A4" s="7" t="s">
        <v>44</v>
      </c>
      <c r="B4" s="7" t="s">
        <v>45</v>
      </c>
      <c r="C4" s="7" t="s">
        <v>46</v>
      </c>
      <c r="D4" s="7" t="s">
        <v>47</v>
      </c>
      <c r="E4" s="7" t="s">
        <v>48</v>
      </c>
      <c r="F4" s="7" t="s">
        <v>49</v>
      </c>
      <c r="G4" s="7" t="s">
        <v>50</v>
      </c>
      <c r="H4" s="7" t="s">
        <v>51</v>
      </c>
      <c r="I4" s="7" t="s">
        <v>7</v>
      </c>
      <c r="J4" s="7" t="s">
        <v>52</v>
      </c>
      <c r="K4" s="7" t="s">
        <v>53</v>
      </c>
      <c r="L4" s="7" t="s">
        <v>54</v>
      </c>
    </row>
    <row r="5" customFormat="false" ht="85.5" hidden="false" customHeight="true" outlineLevel="0" collapsed="false">
      <c r="A5" s="23" t="s">
        <v>268</v>
      </c>
      <c r="B5" s="24" t="s">
        <v>269</v>
      </c>
      <c r="C5" s="25" t="s">
        <v>270</v>
      </c>
      <c r="D5" s="26" t="s">
        <v>271</v>
      </c>
      <c r="E5" s="26" t="s">
        <v>272</v>
      </c>
      <c r="F5" s="26" t="s">
        <v>273</v>
      </c>
      <c r="G5" s="26" t="s">
        <v>274</v>
      </c>
      <c r="H5" s="26" t="s">
        <v>275</v>
      </c>
      <c r="I5" s="27"/>
      <c r="J5" s="28" t="s">
        <v>276</v>
      </c>
      <c r="K5" s="29"/>
      <c r="L5" s="30"/>
    </row>
    <row r="6" customFormat="false" ht="85.5" hidden="false" customHeight="true" outlineLevel="0" collapsed="false">
      <c r="A6" s="31" t="s">
        <v>277</v>
      </c>
      <c r="B6" s="32" t="s">
        <v>278</v>
      </c>
      <c r="C6" s="33" t="s">
        <v>279</v>
      </c>
      <c r="D6" s="34" t="s">
        <v>280</v>
      </c>
      <c r="E6" s="34" t="s">
        <v>281</v>
      </c>
      <c r="F6" s="34" t="s">
        <v>282</v>
      </c>
      <c r="G6" s="34" t="s">
        <v>283</v>
      </c>
      <c r="H6" s="34" t="s">
        <v>284</v>
      </c>
      <c r="I6" s="27"/>
      <c r="J6" s="35" t="s">
        <v>285</v>
      </c>
      <c r="K6" s="29"/>
      <c r="L6" s="30"/>
    </row>
    <row r="7" customFormat="false" ht="85.5" hidden="false" customHeight="true" outlineLevel="0" collapsed="false">
      <c r="A7" s="23" t="s">
        <v>286</v>
      </c>
      <c r="B7" s="24" t="s">
        <v>287</v>
      </c>
      <c r="C7" s="25" t="s">
        <v>288</v>
      </c>
      <c r="D7" s="26" t="s">
        <v>289</v>
      </c>
      <c r="E7" s="26" t="s">
        <v>290</v>
      </c>
      <c r="F7" s="26" t="s">
        <v>291</v>
      </c>
      <c r="G7" s="26" t="s">
        <v>292</v>
      </c>
      <c r="H7" s="26" t="s">
        <v>293</v>
      </c>
      <c r="I7" s="27"/>
      <c r="J7" s="28"/>
      <c r="K7" s="29"/>
      <c r="L7" s="30"/>
    </row>
    <row r="8" customFormat="false" ht="85.5" hidden="false" customHeight="true" outlineLevel="0" collapsed="false">
      <c r="A8" s="31" t="s">
        <v>294</v>
      </c>
      <c r="B8" s="32" t="s">
        <v>295</v>
      </c>
      <c r="C8" s="33" t="s">
        <v>296</v>
      </c>
      <c r="D8" s="34" t="s">
        <v>297</v>
      </c>
      <c r="E8" s="34" t="s">
        <v>298</v>
      </c>
      <c r="F8" s="34" t="s">
        <v>299</v>
      </c>
      <c r="G8" s="34" t="s">
        <v>300</v>
      </c>
      <c r="H8" s="34" t="s">
        <v>301</v>
      </c>
      <c r="I8" s="27"/>
      <c r="J8" s="35"/>
      <c r="K8" s="29"/>
      <c r="L8" s="30"/>
    </row>
    <row r="9" customFormat="false" ht="85.5" hidden="false" customHeight="true" outlineLevel="0" collapsed="false">
      <c r="A9" s="23" t="s">
        <v>302</v>
      </c>
      <c r="B9" s="24" t="s">
        <v>303</v>
      </c>
      <c r="C9" s="25" t="s">
        <v>304</v>
      </c>
      <c r="D9" s="26" t="s">
        <v>305</v>
      </c>
      <c r="E9" s="26" t="s">
        <v>306</v>
      </c>
      <c r="F9" s="26" t="s">
        <v>307</v>
      </c>
      <c r="G9" s="26" t="s">
        <v>308</v>
      </c>
      <c r="H9" s="26" t="s">
        <v>309</v>
      </c>
      <c r="I9" s="27"/>
      <c r="J9" s="28"/>
      <c r="K9" s="29"/>
      <c r="L9" s="30"/>
    </row>
    <row r="10" customFormat="false" ht="85.5" hidden="false" customHeight="true" outlineLevel="0" collapsed="false">
      <c r="A10" s="31" t="s">
        <v>310</v>
      </c>
      <c r="B10" s="32" t="s">
        <v>311</v>
      </c>
      <c r="C10" s="33" t="s">
        <v>312</v>
      </c>
      <c r="D10" s="34" t="s">
        <v>313</v>
      </c>
      <c r="E10" s="34" t="s">
        <v>314</v>
      </c>
      <c r="F10" s="34" t="s">
        <v>315</v>
      </c>
      <c r="G10" s="34" t="s">
        <v>316</v>
      </c>
      <c r="H10" s="34" t="s">
        <v>317</v>
      </c>
      <c r="I10" s="27"/>
      <c r="J10" s="35"/>
      <c r="K10" s="29"/>
      <c r="L10" s="30"/>
    </row>
    <row r="11" customFormat="false" ht="85.5" hidden="false" customHeight="true" outlineLevel="0" collapsed="false">
      <c r="A11" s="23" t="s">
        <v>318</v>
      </c>
      <c r="B11" s="24" t="s">
        <v>319</v>
      </c>
      <c r="C11" s="25" t="s">
        <v>320</v>
      </c>
      <c r="D11" s="26" t="s">
        <v>321</v>
      </c>
      <c r="E11" s="26" t="s">
        <v>322</v>
      </c>
      <c r="F11" s="26" t="s">
        <v>323</v>
      </c>
      <c r="G11" s="26" t="s">
        <v>324</v>
      </c>
      <c r="H11" s="26" t="s">
        <v>325</v>
      </c>
      <c r="I11" s="27"/>
      <c r="J11" s="28" t="s">
        <v>326</v>
      </c>
      <c r="K11" s="29"/>
      <c r="L11" s="30"/>
    </row>
    <row r="12" customFormat="false" ht="85.5" hidden="false" customHeight="true" outlineLevel="0" collapsed="false">
      <c r="A12" s="31" t="s">
        <v>327</v>
      </c>
      <c r="B12" s="32" t="s">
        <v>328</v>
      </c>
      <c r="C12" s="33" t="s">
        <v>329</v>
      </c>
      <c r="D12" s="34" t="s">
        <v>330</v>
      </c>
      <c r="E12" s="34" t="s">
        <v>331</v>
      </c>
      <c r="F12" s="34" t="s">
        <v>332</v>
      </c>
      <c r="G12" s="34" t="s">
        <v>333</v>
      </c>
      <c r="H12" s="34" t="s">
        <v>334</v>
      </c>
      <c r="I12" s="27"/>
      <c r="J12" s="35"/>
      <c r="K12" s="29"/>
      <c r="L12" s="30"/>
    </row>
    <row r="13" customFormat="false" ht="27.75" hidden="false" customHeight="true" outlineLevel="0" collapsed="false">
      <c r="A13" s="36" t="s">
        <v>123</v>
      </c>
      <c r="B13" s="36"/>
      <c r="C13" s="36"/>
      <c r="D13" s="36"/>
      <c r="E13" s="36"/>
      <c r="F13" s="36"/>
      <c r="G13" s="36"/>
      <c r="H13" s="36"/>
      <c r="I13" s="37" t="n">
        <f aca="false">SUM(I5:I12)</f>
        <v>0</v>
      </c>
      <c r="J13" s="38" t="s">
        <v>124</v>
      </c>
      <c r="K13" s="38"/>
      <c r="L13" s="38"/>
    </row>
  </sheetData>
  <mergeCells count="4">
    <mergeCell ref="A1:L1"/>
    <mergeCell ref="A2:L2"/>
    <mergeCell ref="A13:H13"/>
    <mergeCell ref="J13:L13"/>
  </mergeCells>
  <conditionalFormatting sqref="I5:I12">
    <cfRule type="cellIs" priority="2" operator="lessThanOr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2</formula>
    </cfRule>
    <cfRule type="cellIs" priority="4" operator="greaterThanOrEqual" aboveAverage="0" equalAverage="0" bottom="0" percent="0" rank="0" text="" dxfId="2">
      <formula>3</formula>
    </cfRule>
  </conditionalFormatting>
  <dataValidations count="1">
    <dataValidation allowBlank="true" error="Score must be 0-4" errorStyle="stop" errorTitle="Invalid score" operator="between" prompt="Enter maturity score 0-4" promptTitle="Maturity score" showDropDown="false" showErrorMessage="false" showInputMessage="false" sqref="I5:I12" type="list">
      <formula1>"0,1,2,3,4"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8" min="4" style="0" width="24"/>
    <col collapsed="false" customWidth="true" hidden="false" outlineLevel="0" max="9" min="9" style="0" width="8"/>
    <col collapsed="false" customWidth="true" hidden="false" outlineLevel="0" max="10" min="10" style="0" width="26"/>
    <col collapsed="false" customWidth="true" hidden="false" outlineLevel="0" max="11" min="11" style="0" width="12"/>
    <col collapsed="false" customWidth="true" hidden="false" outlineLevel="0" max="12" min="12" style="0" width="36"/>
  </cols>
  <sheetData>
    <row r="1" customFormat="false" ht="39.75" hidden="false" customHeight="true" outlineLevel="0" collapsed="false">
      <c r="A1" s="21" t="s">
        <v>335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customFormat="false" ht="27.75" hidden="false" customHeight="true" outlineLevel="0" collapsed="false">
      <c r="A2" s="22" t="s">
        <v>336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customFormat="false" ht="7.5" hidden="false" customHeight="true" outlineLevel="0" collapsed="false"/>
    <row r="4" customFormat="false" ht="31.5" hidden="false" customHeight="true" outlineLevel="0" collapsed="false">
      <c r="A4" s="7" t="s">
        <v>44</v>
      </c>
      <c r="B4" s="7" t="s">
        <v>45</v>
      </c>
      <c r="C4" s="7" t="s">
        <v>46</v>
      </c>
      <c r="D4" s="7" t="s">
        <v>47</v>
      </c>
      <c r="E4" s="7" t="s">
        <v>48</v>
      </c>
      <c r="F4" s="7" t="s">
        <v>49</v>
      </c>
      <c r="G4" s="7" t="s">
        <v>50</v>
      </c>
      <c r="H4" s="7" t="s">
        <v>51</v>
      </c>
      <c r="I4" s="7" t="s">
        <v>7</v>
      </c>
      <c r="J4" s="7" t="s">
        <v>52</v>
      </c>
      <c r="K4" s="7" t="s">
        <v>53</v>
      </c>
      <c r="L4" s="7" t="s">
        <v>54</v>
      </c>
    </row>
    <row r="5" customFormat="false" ht="85.5" hidden="false" customHeight="true" outlineLevel="0" collapsed="false">
      <c r="A5" s="23" t="s">
        <v>337</v>
      </c>
      <c r="B5" s="24" t="s">
        <v>338</v>
      </c>
      <c r="C5" s="25" t="s">
        <v>339</v>
      </c>
      <c r="D5" s="26" t="s">
        <v>340</v>
      </c>
      <c r="E5" s="26" t="s">
        <v>341</v>
      </c>
      <c r="F5" s="26" t="s">
        <v>342</v>
      </c>
      <c r="G5" s="26" t="s">
        <v>343</v>
      </c>
      <c r="H5" s="26" t="s">
        <v>344</v>
      </c>
      <c r="I5" s="27"/>
      <c r="J5" s="28" t="s">
        <v>345</v>
      </c>
      <c r="K5" s="29"/>
      <c r="L5" s="30"/>
    </row>
    <row r="6" customFormat="false" ht="85.5" hidden="false" customHeight="true" outlineLevel="0" collapsed="false">
      <c r="A6" s="31" t="s">
        <v>346</v>
      </c>
      <c r="B6" s="32" t="s">
        <v>347</v>
      </c>
      <c r="C6" s="33" t="s">
        <v>348</v>
      </c>
      <c r="D6" s="34" t="s">
        <v>349</v>
      </c>
      <c r="E6" s="34" t="s">
        <v>350</v>
      </c>
      <c r="F6" s="34" t="s">
        <v>351</v>
      </c>
      <c r="G6" s="34" t="s">
        <v>352</v>
      </c>
      <c r="H6" s="34" t="s">
        <v>353</v>
      </c>
      <c r="I6" s="27"/>
      <c r="J6" s="35" t="s">
        <v>354</v>
      </c>
      <c r="K6" s="29"/>
      <c r="L6" s="30"/>
    </row>
    <row r="7" customFormat="false" ht="85.5" hidden="false" customHeight="true" outlineLevel="0" collapsed="false">
      <c r="A7" s="23" t="s">
        <v>355</v>
      </c>
      <c r="B7" s="24" t="s">
        <v>356</v>
      </c>
      <c r="C7" s="25" t="s">
        <v>357</v>
      </c>
      <c r="D7" s="26" t="s">
        <v>358</v>
      </c>
      <c r="E7" s="26" t="s">
        <v>359</v>
      </c>
      <c r="F7" s="26" t="s">
        <v>360</v>
      </c>
      <c r="G7" s="26" t="s">
        <v>361</v>
      </c>
      <c r="H7" s="26" t="s">
        <v>362</v>
      </c>
      <c r="I7" s="27"/>
      <c r="J7" s="28" t="s">
        <v>363</v>
      </c>
      <c r="K7" s="29"/>
      <c r="L7" s="30"/>
    </row>
    <row r="8" customFormat="false" ht="85.5" hidden="false" customHeight="true" outlineLevel="0" collapsed="false">
      <c r="A8" s="31" t="s">
        <v>364</v>
      </c>
      <c r="B8" s="32" t="s">
        <v>365</v>
      </c>
      <c r="C8" s="33" t="s">
        <v>366</v>
      </c>
      <c r="D8" s="34" t="s">
        <v>367</v>
      </c>
      <c r="E8" s="34" t="s">
        <v>368</v>
      </c>
      <c r="F8" s="34" t="s">
        <v>369</v>
      </c>
      <c r="G8" s="34" t="s">
        <v>370</v>
      </c>
      <c r="H8" s="34" t="s">
        <v>371</v>
      </c>
      <c r="I8" s="27"/>
      <c r="J8" s="35" t="s">
        <v>372</v>
      </c>
      <c r="K8" s="29"/>
      <c r="L8" s="30"/>
    </row>
    <row r="9" customFormat="false" ht="85.5" hidden="false" customHeight="true" outlineLevel="0" collapsed="false">
      <c r="A9" s="23" t="s">
        <v>373</v>
      </c>
      <c r="B9" s="24" t="s">
        <v>374</v>
      </c>
      <c r="C9" s="25" t="s">
        <v>375</v>
      </c>
      <c r="D9" s="26" t="s">
        <v>376</v>
      </c>
      <c r="E9" s="26" t="s">
        <v>377</v>
      </c>
      <c r="F9" s="26" t="s">
        <v>378</v>
      </c>
      <c r="G9" s="26" t="s">
        <v>379</v>
      </c>
      <c r="H9" s="26" t="s">
        <v>380</v>
      </c>
      <c r="I9" s="27"/>
      <c r="J9" s="28"/>
      <c r="K9" s="29"/>
      <c r="L9" s="30"/>
    </row>
    <row r="10" customFormat="false" ht="85.5" hidden="false" customHeight="true" outlineLevel="0" collapsed="false">
      <c r="A10" s="31" t="s">
        <v>381</v>
      </c>
      <c r="B10" s="32" t="s">
        <v>382</v>
      </c>
      <c r="C10" s="33" t="s">
        <v>383</v>
      </c>
      <c r="D10" s="34" t="s">
        <v>384</v>
      </c>
      <c r="E10" s="34" t="s">
        <v>385</v>
      </c>
      <c r="F10" s="34" t="s">
        <v>386</v>
      </c>
      <c r="G10" s="34" t="s">
        <v>387</v>
      </c>
      <c r="H10" s="34" t="s">
        <v>388</v>
      </c>
      <c r="I10" s="27"/>
      <c r="J10" s="35" t="s">
        <v>389</v>
      </c>
      <c r="K10" s="29"/>
      <c r="L10" s="30"/>
    </row>
    <row r="11" customFormat="false" ht="85.5" hidden="false" customHeight="true" outlineLevel="0" collapsed="false">
      <c r="A11" s="23" t="s">
        <v>390</v>
      </c>
      <c r="B11" s="24" t="s">
        <v>391</v>
      </c>
      <c r="C11" s="25" t="s">
        <v>392</v>
      </c>
      <c r="D11" s="26" t="s">
        <v>393</v>
      </c>
      <c r="E11" s="26" t="s">
        <v>394</v>
      </c>
      <c r="F11" s="26" t="s">
        <v>395</v>
      </c>
      <c r="G11" s="26" t="s">
        <v>396</v>
      </c>
      <c r="H11" s="26" t="s">
        <v>397</v>
      </c>
      <c r="I11" s="27"/>
      <c r="J11" s="28"/>
      <c r="K11" s="29"/>
      <c r="L11" s="30"/>
    </row>
    <row r="12" customFormat="false" ht="85.5" hidden="false" customHeight="true" outlineLevel="0" collapsed="false">
      <c r="A12" s="31" t="s">
        <v>398</v>
      </c>
      <c r="B12" s="32" t="s">
        <v>399</v>
      </c>
      <c r="C12" s="33" t="s">
        <v>400</v>
      </c>
      <c r="D12" s="34" t="s">
        <v>401</v>
      </c>
      <c r="E12" s="34" t="s">
        <v>402</v>
      </c>
      <c r="F12" s="34" t="s">
        <v>403</v>
      </c>
      <c r="G12" s="34" t="s">
        <v>404</v>
      </c>
      <c r="H12" s="34" t="s">
        <v>405</v>
      </c>
      <c r="I12" s="27"/>
      <c r="J12" s="35"/>
      <c r="K12" s="29"/>
      <c r="L12" s="30"/>
    </row>
    <row r="13" customFormat="false" ht="27.75" hidden="false" customHeight="true" outlineLevel="0" collapsed="false">
      <c r="A13" s="36" t="s">
        <v>123</v>
      </c>
      <c r="B13" s="36"/>
      <c r="C13" s="36"/>
      <c r="D13" s="36"/>
      <c r="E13" s="36"/>
      <c r="F13" s="36"/>
      <c r="G13" s="36"/>
      <c r="H13" s="36"/>
      <c r="I13" s="37" t="n">
        <f aca="false">SUM(I5:I12)</f>
        <v>0</v>
      </c>
      <c r="J13" s="38" t="s">
        <v>124</v>
      </c>
      <c r="K13" s="38"/>
      <c r="L13" s="38"/>
    </row>
  </sheetData>
  <mergeCells count="4">
    <mergeCell ref="A1:L1"/>
    <mergeCell ref="A2:L2"/>
    <mergeCell ref="A13:H13"/>
    <mergeCell ref="J13:L13"/>
  </mergeCells>
  <conditionalFormatting sqref="I5:I12">
    <cfRule type="cellIs" priority="2" operator="lessThanOr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2</formula>
    </cfRule>
    <cfRule type="cellIs" priority="4" operator="greaterThanOrEqual" aboveAverage="0" equalAverage="0" bottom="0" percent="0" rank="0" text="" dxfId="2">
      <formula>3</formula>
    </cfRule>
  </conditionalFormatting>
  <dataValidations count="1">
    <dataValidation allowBlank="true" error="Score must be 0-4" errorStyle="stop" errorTitle="Invalid score" operator="between" prompt="Enter maturity score 0-4" promptTitle="Maturity score" showDropDown="false" showErrorMessage="false" showInputMessage="false" sqref="I5:I12" type="list">
      <formula1>"0,1,2,3,4"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8" min="4" style="0" width="24"/>
    <col collapsed="false" customWidth="true" hidden="false" outlineLevel="0" max="9" min="9" style="0" width="8"/>
    <col collapsed="false" customWidth="true" hidden="false" outlineLevel="0" max="10" min="10" style="0" width="26"/>
    <col collapsed="false" customWidth="true" hidden="false" outlineLevel="0" max="11" min="11" style="0" width="12"/>
    <col collapsed="false" customWidth="true" hidden="false" outlineLevel="0" max="12" min="12" style="0" width="36"/>
  </cols>
  <sheetData>
    <row r="1" customFormat="false" ht="39.75" hidden="false" customHeight="true" outlineLevel="0" collapsed="false">
      <c r="A1" s="21" t="s">
        <v>406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customFormat="false" ht="27.75" hidden="false" customHeight="true" outlineLevel="0" collapsed="false">
      <c r="A2" s="22" t="s">
        <v>407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customFormat="false" ht="7.5" hidden="false" customHeight="true" outlineLevel="0" collapsed="false"/>
    <row r="4" customFormat="false" ht="31.5" hidden="false" customHeight="true" outlineLevel="0" collapsed="false">
      <c r="A4" s="7" t="s">
        <v>44</v>
      </c>
      <c r="B4" s="7" t="s">
        <v>45</v>
      </c>
      <c r="C4" s="7" t="s">
        <v>46</v>
      </c>
      <c r="D4" s="7" t="s">
        <v>47</v>
      </c>
      <c r="E4" s="7" t="s">
        <v>48</v>
      </c>
      <c r="F4" s="7" t="s">
        <v>49</v>
      </c>
      <c r="G4" s="7" t="s">
        <v>50</v>
      </c>
      <c r="H4" s="7" t="s">
        <v>51</v>
      </c>
      <c r="I4" s="7" t="s">
        <v>7</v>
      </c>
      <c r="J4" s="7" t="s">
        <v>52</v>
      </c>
      <c r="K4" s="7" t="s">
        <v>53</v>
      </c>
      <c r="L4" s="7" t="s">
        <v>54</v>
      </c>
    </row>
    <row r="5" customFormat="false" ht="85.5" hidden="false" customHeight="true" outlineLevel="0" collapsed="false">
      <c r="A5" s="23" t="s">
        <v>408</v>
      </c>
      <c r="B5" s="24" t="s">
        <v>409</v>
      </c>
      <c r="C5" s="25" t="s">
        <v>410</v>
      </c>
      <c r="D5" s="26" t="s">
        <v>411</v>
      </c>
      <c r="E5" s="26" t="s">
        <v>412</v>
      </c>
      <c r="F5" s="26" t="s">
        <v>413</v>
      </c>
      <c r="G5" s="26" t="s">
        <v>414</v>
      </c>
      <c r="H5" s="26" t="s">
        <v>415</v>
      </c>
      <c r="I5" s="27"/>
      <c r="J5" s="28" t="s">
        <v>416</v>
      </c>
      <c r="K5" s="29"/>
      <c r="L5" s="30"/>
    </row>
    <row r="6" customFormat="false" ht="85.5" hidden="false" customHeight="true" outlineLevel="0" collapsed="false">
      <c r="A6" s="31" t="s">
        <v>417</v>
      </c>
      <c r="B6" s="32" t="s">
        <v>418</v>
      </c>
      <c r="C6" s="33" t="s">
        <v>419</v>
      </c>
      <c r="D6" s="34" t="s">
        <v>420</v>
      </c>
      <c r="E6" s="34" t="s">
        <v>421</v>
      </c>
      <c r="F6" s="34" t="s">
        <v>422</v>
      </c>
      <c r="G6" s="34" t="s">
        <v>423</v>
      </c>
      <c r="H6" s="34" t="s">
        <v>424</v>
      </c>
      <c r="I6" s="27"/>
      <c r="J6" s="35" t="s">
        <v>425</v>
      </c>
      <c r="K6" s="29"/>
      <c r="L6" s="30"/>
    </row>
    <row r="7" customFormat="false" ht="85.5" hidden="false" customHeight="true" outlineLevel="0" collapsed="false">
      <c r="A7" s="23" t="s">
        <v>426</v>
      </c>
      <c r="B7" s="24" t="s">
        <v>427</v>
      </c>
      <c r="C7" s="25" t="s">
        <v>428</v>
      </c>
      <c r="D7" s="26" t="s">
        <v>429</v>
      </c>
      <c r="E7" s="26" t="s">
        <v>430</v>
      </c>
      <c r="F7" s="26" t="s">
        <v>431</v>
      </c>
      <c r="G7" s="26" t="s">
        <v>432</v>
      </c>
      <c r="H7" s="26" t="s">
        <v>433</v>
      </c>
      <c r="I7" s="27"/>
      <c r="J7" s="28" t="s">
        <v>434</v>
      </c>
      <c r="K7" s="29"/>
      <c r="L7" s="30"/>
    </row>
    <row r="8" customFormat="false" ht="85.5" hidden="false" customHeight="true" outlineLevel="0" collapsed="false">
      <c r="A8" s="31" t="s">
        <v>435</v>
      </c>
      <c r="B8" s="32" t="s">
        <v>436</v>
      </c>
      <c r="C8" s="33" t="s">
        <v>437</v>
      </c>
      <c r="D8" s="34" t="s">
        <v>438</v>
      </c>
      <c r="E8" s="34" t="s">
        <v>439</v>
      </c>
      <c r="F8" s="34" t="s">
        <v>440</v>
      </c>
      <c r="G8" s="34" t="s">
        <v>441</v>
      </c>
      <c r="H8" s="34" t="s">
        <v>442</v>
      </c>
      <c r="I8" s="27"/>
      <c r="J8" s="35" t="s">
        <v>443</v>
      </c>
      <c r="K8" s="29"/>
      <c r="L8" s="30"/>
    </row>
    <row r="9" customFormat="false" ht="85.5" hidden="false" customHeight="true" outlineLevel="0" collapsed="false">
      <c r="A9" s="23" t="s">
        <v>444</v>
      </c>
      <c r="B9" s="24" t="s">
        <v>445</v>
      </c>
      <c r="C9" s="25" t="s">
        <v>446</v>
      </c>
      <c r="D9" s="26" t="s">
        <v>447</v>
      </c>
      <c r="E9" s="26" t="s">
        <v>448</v>
      </c>
      <c r="F9" s="26" t="s">
        <v>449</v>
      </c>
      <c r="G9" s="26" t="s">
        <v>450</v>
      </c>
      <c r="H9" s="26" t="s">
        <v>451</v>
      </c>
      <c r="I9" s="27"/>
      <c r="J9" s="28" t="s">
        <v>452</v>
      </c>
      <c r="K9" s="29"/>
      <c r="L9" s="30"/>
    </row>
    <row r="10" customFormat="false" ht="85.5" hidden="false" customHeight="true" outlineLevel="0" collapsed="false">
      <c r="A10" s="31" t="s">
        <v>453</v>
      </c>
      <c r="B10" s="32" t="s">
        <v>454</v>
      </c>
      <c r="C10" s="33" t="s">
        <v>455</v>
      </c>
      <c r="D10" s="34" t="s">
        <v>456</v>
      </c>
      <c r="E10" s="34" t="s">
        <v>457</v>
      </c>
      <c r="F10" s="34" t="s">
        <v>458</v>
      </c>
      <c r="G10" s="34" t="s">
        <v>459</v>
      </c>
      <c r="H10" s="34" t="s">
        <v>460</v>
      </c>
      <c r="I10" s="27"/>
      <c r="J10" s="35" t="s">
        <v>461</v>
      </c>
      <c r="K10" s="29"/>
      <c r="L10" s="30"/>
    </row>
    <row r="11" customFormat="false" ht="85.5" hidden="false" customHeight="true" outlineLevel="0" collapsed="false">
      <c r="A11" s="23" t="s">
        <v>462</v>
      </c>
      <c r="B11" s="24" t="s">
        <v>463</v>
      </c>
      <c r="C11" s="25" t="s">
        <v>464</v>
      </c>
      <c r="D11" s="26" t="s">
        <v>465</v>
      </c>
      <c r="E11" s="26" t="s">
        <v>466</v>
      </c>
      <c r="F11" s="26" t="s">
        <v>467</v>
      </c>
      <c r="G11" s="26" t="s">
        <v>468</v>
      </c>
      <c r="H11" s="26" t="s">
        <v>469</v>
      </c>
      <c r="I11" s="27"/>
      <c r="J11" s="28" t="s">
        <v>470</v>
      </c>
      <c r="K11" s="29"/>
      <c r="L11" s="30"/>
    </row>
    <row r="12" customFormat="false" ht="85.5" hidden="false" customHeight="true" outlineLevel="0" collapsed="false">
      <c r="A12" s="31" t="s">
        <v>471</v>
      </c>
      <c r="B12" s="32" t="s">
        <v>472</v>
      </c>
      <c r="C12" s="33" t="s">
        <v>473</v>
      </c>
      <c r="D12" s="34" t="s">
        <v>474</v>
      </c>
      <c r="E12" s="34" t="s">
        <v>475</v>
      </c>
      <c r="F12" s="34" t="s">
        <v>476</v>
      </c>
      <c r="G12" s="34" t="s">
        <v>477</v>
      </c>
      <c r="H12" s="34" t="s">
        <v>478</v>
      </c>
      <c r="I12" s="27"/>
      <c r="J12" s="35"/>
      <c r="K12" s="29"/>
      <c r="L12" s="30"/>
    </row>
    <row r="13" customFormat="false" ht="27.75" hidden="false" customHeight="true" outlineLevel="0" collapsed="false">
      <c r="A13" s="36" t="s">
        <v>123</v>
      </c>
      <c r="B13" s="36"/>
      <c r="C13" s="36"/>
      <c r="D13" s="36"/>
      <c r="E13" s="36"/>
      <c r="F13" s="36"/>
      <c r="G13" s="36"/>
      <c r="H13" s="36"/>
      <c r="I13" s="37" t="n">
        <f aca="false">SUM(I5:I12)</f>
        <v>0</v>
      </c>
      <c r="J13" s="38" t="s">
        <v>124</v>
      </c>
      <c r="K13" s="38"/>
      <c r="L13" s="38"/>
    </row>
  </sheetData>
  <mergeCells count="4">
    <mergeCell ref="A1:L1"/>
    <mergeCell ref="A2:L2"/>
    <mergeCell ref="A13:H13"/>
    <mergeCell ref="J13:L13"/>
  </mergeCells>
  <conditionalFormatting sqref="I5:I12">
    <cfRule type="cellIs" priority="2" operator="lessThanOr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2</formula>
    </cfRule>
    <cfRule type="cellIs" priority="4" operator="greaterThanOrEqual" aboveAverage="0" equalAverage="0" bottom="0" percent="0" rank="0" text="" dxfId="2">
      <formula>3</formula>
    </cfRule>
  </conditionalFormatting>
  <dataValidations count="1">
    <dataValidation allowBlank="true" error="Score must be 0-4" errorStyle="stop" errorTitle="Invalid score" operator="between" prompt="Enter maturity score 0-4" promptTitle="Maturity score" showDropDown="false" showErrorMessage="false" showInputMessage="false" sqref="I5:I12" type="list">
      <formula1>"0,1,2,3,4"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8" min="4" style="0" width="24"/>
    <col collapsed="false" customWidth="true" hidden="false" outlineLevel="0" max="9" min="9" style="0" width="8"/>
    <col collapsed="false" customWidth="true" hidden="false" outlineLevel="0" max="10" min="10" style="0" width="26"/>
    <col collapsed="false" customWidth="true" hidden="false" outlineLevel="0" max="11" min="11" style="0" width="12"/>
    <col collapsed="false" customWidth="true" hidden="false" outlineLevel="0" max="12" min="12" style="0" width="36"/>
  </cols>
  <sheetData>
    <row r="1" customFormat="false" ht="39.75" hidden="false" customHeight="true" outlineLevel="0" collapsed="false">
      <c r="A1" s="21" t="s">
        <v>479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customFormat="false" ht="27.75" hidden="false" customHeight="true" outlineLevel="0" collapsed="false">
      <c r="A2" s="22" t="s">
        <v>480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customFormat="false" ht="7.5" hidden="false" customHeight="true" outlineLevel="0" collapsed="false"/>
    <row r="4" customFormat="false" ht="31.5" hidden="false" customHeight="true" outlineLevel="0" collapsed="false">
      <c r="A4" s="7" t="s">
        <v>44</v>
      </c>
      <c r="B4" s="7" t="s">
        <v>45</v>
      </c>
      <c r="C4" s="7" t="s">
        <v>46</v>
      </c>
      <c r="D4" s="7" t="s">
        <v>47</v>
      </c>
      <c r="E4" s="7" t="s">
        <v>48</v>
      </c>
      <c r="F4" s="7" t="s">
        <v>49</v>
      </c>
      <c r="G4" s="7" t="s">
        <v>50</v>
      </c>
      <c r="H4" s="7" t="s">
        <v>51</v>
      </c>
      <c r="I4" s="7" t="s">
        <v>7</v>
      </c>
      <c r="J4" s="7" t="s">
        <v>52</v>
      </c>
      <c r="K4" s="7" t="s">
        <v>53</v>
      </c>
      <c r="L4" s="7" t="s">
        <v>54</v>
      </c>
    </row>
    <row r="5" customFormat="false" ht="85.5" hidden="false" customHeight="true" outlineLevel="0" collapsed="false">
      <c r="A5" s="23" t="s">
        <v>481</v>
      </c>
      <c r="B5" s="24" t="s">
        <v>482</v>
      </c>
      <c r="C5" s="25" t="s">
        <v>483</v>
      </c>
      <c r="D5" s="26" t="s">
        <v>484</v>
      </c>
      <c r="E5" s="26" t="s">
        <v>485</v>
      </c>
      <c r="F5" s="26" t="s">
        <v>486</v>
      </c>
      <c r="G5" s="26" t="s">
        <v>487</v>
      </c>
      <c r="H5" s="26" t="s">
        <v>488</v>
      </c>
      <c r="I5" s="27"/>
      <c r="J5" s="28"/>
      <c r="K5" s="29"/>
      <c r="L5" s="30"/>
    </row>
    <row r="6" customFormat="false" ht="85.5" hidden="false" customHeight="true" outlineLevel="0" collapsed="false">
      <c r="A6" s="31" t="s">
        <v>489</v>
      </c>
      <c r="B6" s="32" t="s">
        <v>490</v>
      </c>
      <c r="C6" s="33" t="s">
        <v>491</v>
      </c>
      <c r="D6" s="34" t="s">
        <v>492</v>
      </c>
      <c r="E6" s="34" t="s">
        <v>493</v>
      </c>
      <c r="F6" s="34" t="s">
        <v>494</v>
      </c>
      <c r="G6" s="34" t="s">
        <v>495</v>
      </c>
      <c r="H6" s="34" t="s">
        <v>496</v>
      </c>
      <c r="I6" s="27"/>
      <c r="J6" s="35"/>
      <c r="K6" s="29"/>
      <c r="L6" s="30"/>
    </row>
    <row r="7" customFormat="false" ht="85.5" hidden="false" customHeight="true" outlineLevel="0" collapsed="false">
      <c r="A7" s="23" t="s">
        <v>497</v>
      </c>
      <c r="B7" s="24" t="s">
        <v>498</v>
      </c>
      <c r="C7" s="25" t="s">
        <v>499</v>
      </c>
      <c r="D7" s="26" t="s">
        <v>500</v>
      </c>
      <c r="E7" s="26" t="s">
        <v>501</v>
      </c>
      <c r="F7" s="26" t="s">
        <v>502</v>
      </c>
      <c r="G7" s="26" t="s">
        <v>503</v>
      </c>
      <c r="H7" s="26" t="s">
        <v>504</v>
      </c>
      <c r="I7" s="27"/>
      <c r="J7" s="28" t="s">
        <v>505</v>
      </c>
      <c r="K7" s="29"/>
      <c r="L7" s="30"/>
    </row>
    <row r="8" customFormat="false" ht="85.5" hidden="false" customHeight="true" outlineLevel="0" collapsed="false">
      <c r="A8" s="31" t="s">
        <v>506</v>
      </c>
      <c r="B8" s="32" t="s">
        <v>507</v>
      </c>
      <c r="C8" s="33" t="s">
        <v>508</v>
      </c>
      <c r="D8" s="34" t="s">
        <v>509</v>
      </c>
      <c r="E8" s="34" t="s">
        <v>510</v>
      </c>
      <c r="F8" s="34" t="s">
        <v>511</v>
      </c>
      <c r="G8" s="34" t="s">
        <v>512</v>
      </c>
      <c r="H8" s="34" t="s">
        <v>513</v>
      </c>
      <c r="I8" s="27"/>
      <c r="J8" s="35"/>
      <c r="K8" s="29"/>
      <c r="L8" s="30"/>
    </row>
    <row r="9" customFormat="false" ht="85.5" hidden="false" customHeight="true" outlineLevel="0" collapsed="false">
      <c r="A9" s="23" t="s">
        <v>514</v>
      </c>
      <c r="B9" s="24" t="s">
        <v>515</v>
      </c>
      <c r="C9" s="25" t="s">
        <v>516</v>
      </c>
      <c r="D9" s="26" t="s">
        <v>517</v>
      </c>
      <c r="E9" s="26" t="s">
        <v>518</v>
      </c>
      <c r="F9" s="26" t="s">
        <v>519</v>
      </c>
      <c r="G9" s="26" t="s">
        <v>520</v>
      </c>
      <c r="H9" s="26" t="s">
        <v>521</v>
      </c>
      <c r="I9" s="27"/>
      <c r="J9" s="28" t="s">
        <v>522</v>
      </c>
      <c r="K9" s="29"/>
      <c r="L9" s="30"/>
    </row>
    <row r="10" customFormat="false" ht="85.5" hidden="false" customHeight="true" outlineLevel="0" collapsed="false">
      <c r="A10" s="31" t="s">
        <v>523</v>
      </c>
      <c r="B10" s="32" t="s">
        <v>524</v>
      </c>
      <c r="C10" s="33" t="s">
        <v>525</v>
      </c>
      <c r="D10" s="34" t="s">
        <v>526</v>
      </c>
      <c r="E10" s="34" t="s">
        <v>527</v>
      </c>
      <c r="F10" s="34" t="s">
        <v>528</v>
      </c>
      <c r="G10" s="34" t="s">
        <v>529</v>
      </c>
      <c r="H10" s="34" t="s">
        <v>530</v>
      </c>
      <c r="I10" s="27"/>
      <c r="J10" s="35"/>
      <c r="K10" s="29"/>
      <c r="L10" s="30"/>
    </row>
    <row r="11" customFormat="false" ht="85.5" hidden="false" customHeight="true" outlineLevel="0" collapsed="false">
      <c r="A11" s="23" t="s">
        <v>531</v>
      </c>
      <c r="B11" s="24" t="s">
        <v>532</v>
      </c>
      <c r="C11" s="25" t="s">
        <v>533</v>
      </c>
      <c r="D11" s="26" t="s">
        <v>534</v>
      </c>
      <c r="E11" s="26" t="s">
        <v>535</v>
      </c>
      <c r="F11" s="26" t="s">
        <v>536</v>
      </c>
      <c r="G11" s="26" t="s">
        <v>537</v>
      </c>
      <c r="H11" s="26" t="s">
        <v>538</v>
      </c>
      <c r="I11" s="27"/>
      <c r="J11" s="28" t="s">
        <v>539</v>
      </c>
      <c r="K11" s="29"/>
      <c r="L11" s="30"/>
    </row>
    <row r="12" customFormat="false" ht="85.5" hidden="false" customHeight="true" outlineLevel="0" collapsed="false">
      <c r="A12" s="31" t="s">
        <v>540</v>
      </c>
      <c r="B12" s="32" t="s">
        <v>541</v>
      </c>
      <c r="C12" s="33" t="s">
        <v>542</v>
      </c>
      <c r="D12" s="34" t="s">
        <v>543</v>
      </c>
      <c r="E12" s="34" t="s">
        <v>544</v>
      </c>
      <c r="F12" s="34" t="s">
        <v>545</v>
      </c>
      <c r="G12" s="34" t="s">
        <v>546</v>
      </c>
      <c r="H12" s="34" t="s">
        <v>547</v>
      </c>
      <c r="I12" s="27"/>
      <c r="J12" s="35"/>
      <c r="K12" s="29"/>
      <c r="L12" s="30"/>
    </row>
    <row r="13" customFormat="false" ht="27.75" hidden="false" customHeight="true" outlineLevel="0" collapsed="false">
      <c r="A13" s="36" t="s">
        <v>123</v>
      </c>
      <c r="B13" s="36"/>
      <c r="C13" s="36"/>
      <c r="D13" s="36"/>
      <c r="E13" s="36"/>
      <c r="F13" s="36"/>
      <c r="G13" s="36"/>
      <c r="H13" s="36"/>
      <c r="I13" s="37" t="n">
        <f aca="false">SUM(I5:I12)</f>
        <v>0</v>
      </c>
      <c r="J13" s="38" t="s">
        <v>124</v>
      </c>
      <c r="K13" s="38"/>
      <c r="L13" s="38"/>
    </row>
  </sheetData>
  <mergeCells count="4">
    <mergeCell ref="A1:L1"/>
    <mergeCell ref="A2:L2"/>
    <mergeCell ref="A13:H13"/>
    <mergeCell ref="J13:L13"/>
  </mergeCells>
  <conditionalFormatting sqref="I5:I12">
    <cfRule type="cellIs" priority="2" operator="lessThanOr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2</formula>
    </cfRule>
    <cfRule type="cellIs" priority="4" operator="greaterThanOrEqual" aboveAverage="0" equalAverage="0" bottom="0" percent="0" rank="0" text="" dxfId="2">
      <formula>3</formula>
    </cfRule>
  </conditionalFormatting>
  <dataValidations count="1">
    <dataValidation allowBlank="true" error="Score must be 0-4" errorStyle="stop" errorTitle="Invalid score" operator="between" prompt="Enter maturity score 0-4" promptTitle="Maturity score" showDropDown="false" showErrorMessage="false" showInputMessage="false" sqref="I5:I12" type="list">
      <formula1>"0,1,2,3,4"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2026-04-23T06:49:42Z</dcterms:created>
  <dc:creator>openpyxl</dc:creator>
  <dc:description/>
  <dc:language>en-US</dc:language>
  <cp:lastModifiedBy/>
  <dcterms:modified xsi:type="dcterms:W3CDTF">2026-04-23T14:49:46Z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